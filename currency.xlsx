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alues" sheetId="1" r:id="rId4"/>
    <sheet state="visible" name="data pull" sheetId="2" r:id="rId5"/>
  </sheets>
  <definedNames/>
  <calcPr/>
</workbook>
</file>

<file path=xl/sharedStrings.xml><?xml version="1.0" encoding="utf-8"?>
<sst xmlns="http://schemas.openxmlformats.org/spreadsheetml/2006/main" count="9" uniqueCount="5">
  <si>
    <t>averages</t>
  </si>
  <si>
    <t>Yen to Euro</t>
  </si>
  <si>
    <t>SEK to Euro</t>
  </si>
  <si>
    <t>DKK to Euro</t>
  </si>
  <si>
    <t>GBP to Euro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</si>
</sst>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000"/>
    <numFmt numFmtId="165" formatCode="m/d/yyyy h:mm:ss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4.0"/>
      <color rgb="FF001D35"/>
      <name val="Monospace"/>
    </font>
  </fonts>
  <fills count="3">
    <fill>
      <patternFill patternType="none"/>
    </fill>
    <fill>
      <patternFill patternType="lightGray"/>
    </fill>
    <fill>
      <patternFill patternType="solid">
        <fgColor rgb="FFE5EDFF"/>
        <bgColor rgb="FFE5EDFF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readingOrder="0"/>
    </xf>
    <xf borderId="0" fillId="0" fontId="1" numFmtId="164" xfId="0" applyFont="1" applyNumberFormat="1"/>
    <xf borderId="0" fillId="0" fontId="1" numFmtId="0" xfId="0" applyAlignment="1" applyFont="1">
      <alignment readingOrder="0"/>
    </xf>
    <xf borderId="0" fillId="2" fontId="2" numFmtId="0" xfId="0" applyFill="1" applyFont="1"/>
    <xf borderId="0" fillId="0" fontId="1" numFmtId="0" xfId="0" applyFont="1"/>
    <xf borderId="0" fillId="0" fontId="1" numFmtId="165" xfId="0" applyAlignment="1" applyFont="1" applyNumberFormat="1">
      <alignment readingOrder="0"/>
    </xf>
    <xf borderId="0" fillId="0" fontId="1" numFmtId="165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>
        <f>average(B4:B6569)</f>
        <v>0.007443846154</v>
      </c>
      <c r="C1" s="2"/>
      <c r="D1" s="2"/>
      <c r="E1" s="2">
        <f>average(E4:E6569)</f>
        <v>0.1067009615</v>
      </c>
      <c r="F1" s="2"/>
      <c r="G1" s="2"/>
      <c r="H1" s="2">
        <f>average(H4:H6569)</f>
        <v>0.1340434615</v>
      </c>
      <c r="I1" s="2"/>
      <c r="J1" s="2"/>
      <c r="K1" s="2">
        <f>average(K4:K6569)</f>
        <v>1.376096154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B2" s="3" t="s">
        <v>1</v>
      </c>
      <c r="E2" s="3" t="s">
        <v>2</v>
      </c>
      <c r="H2" s="3" t="s">
        <v>3</v>
      </c>
      <c r="K2" s="3" t="s">
        <v>4</v>
      </c>
    </row>
    <row r="3">
      <c r="A3" s="4" t="str">
        <f>IFERROR(__xludf.DUMMYFUNCTION("GOOGLEFINANCE(""jpyEUR"", ""price"", DATE(2015,1,1), DATE(2015,12,31), ""weekly"")"),"Date")</f>
        <v>Date</v>
      </c>
      <c r="B3" s="5" t="str">
        <f>IFERROR(__xludf.DUMMYFUNCTION("""COMPUTED_VALUE"""),"Close")</f>
        <v>Close</v>
      </c>
      <c r="D3" s="4" t="str">
        <f>IFERROR(__xludf.DUMMYFUNCTION("GOOGLEFINANCE(""sekEUR"", ""price"", DATE(2015,1,1), DATE(2015,12,31), ""weekly"")"),"Date")</f>
        <v>Date</v>
      </c>
      <c r="E3" s="5" t="str">
        <f>IFERROR(__xludf.DUMMYFUNCTION("""COMPUTED_VALUE"""),"Close")</f>
        <v>Close</v>
      </c>
      <c r="G3" s="4" t="str">
        <f>IFERROR(__xludf.DUMMYFUNCTION("GOOGLEFINANCE(""dkkEUR"", ""price"", DATE(2015,1,1), DATE(2015,12,31), ""weekly"")"),"Date")</f>
        <v>Date</v>
      </c>
      <c r="H3" s="5" t="str">
        <f>IFERROR(__xludf.DUMMYFUNCTION("""COMPUTED_VALUE"""),"Close")</f>
        <v>Close</v>
      </c>
      <c r="J3" s="4" t="str">
        <f>IFERROR(__xludf.DUMMYFUNCTION("GOOGLEFINANCE(""gbpEUR"", ""price"", DATE(2015,1,1), DATE(2015,12,31), ""weekly"")"),"Date")</f>
        <v>Date</v>
      </c>
      <c r="K3" s="5" t="str">
        <f>IFERROR(__xludf.DUMMYFUNCTION("""COMPUTED_VALUE"""),"Close")</f>
        <v>Close</v>
      </c>
    </row>
    <row r="4">
      <c r="A4" s="6">
        <f>IFERROR(__xludf.DUMMYFUNCTION("""COMPUTED_VALUE"""),42007.99861111111)</f>
        <v>42007.99861</v>
      </c>
      <c r="B4" s="5">
        <f>IFERROR(__xludf.DUMMYFUNCTION("""COMPUTED_VALUE"""),0.00691)</f>
        <v>0.00691</v>
      </c>
      <c r="D4" s="7">
        <f>IFERROR(__xludf.DUMMYFUNCTION("""COMPUTED_VALUE"""),42006.99861111111)</f>
        <v>42006.99861</v>
      </c>
      <c r="E4" s="5">
        <f>IFERROR(__xludf.DUMMYFUNCTION("""COMPUTED_VALUE"""),0.10492)</f>
        <v>0.10492</v>
      </c>
      <c r="G4" s="7">
        <f>IFERROR(__xludf.DUMMYFUNCTION("""COMPUTED_VALUE"""),42006.99861111111)</f>
        <v>42006.99861</v>
      </c>
      <c r="H4" s="5">
        <f>IFERROR(__xludf.DUMMYFUNCTION("""COMPUTED_VALUE"""),0.13431)</f>
        <v>0.13431</v>
      </c>
      <c r="J4" s="7">
        <f>IFERROR(__xludf.DUMMYFUNCTION("""COMPUTED_VALUE"""),42007.99861111111)</f>
        <v>42007.99861</v>
      </c>
      <c r="K4" s="5">
        <f>IFERROR(__xludf.DUMMYFUNCTION("""COMPUTED_VALUE"""),1.2766)</f>
        <v>1.2766</v>
      </c>
    </row>
    <row r="5">
      <c r="A5" s="6">
        <f>IFERROR(__xludf.DUMMYFUNCTION("""COMPUTED_VALUE"""),42014.99861111111)</f>
        <v>42014.99861</v>
      </c>
      <c r="B5" s="5">
        <f>IFERROR(__xludf.DUMMYFUNCTION("""COMPUTED_VALUE"""),0.00712)</f>
        <v>0.00712</v>
      </c>
      <c r="D5" s="7">
        <f>IFERROR(__xludf.DUMMYFUNCTION("""COMPUTED_VALUE"""),42013.99861111111)</f>
        <v>42013.99861</v>
      </c>
      <c r="E5" s="5">
        <f>IFERROR(__xludf.DUMMYFUNCTION("""COMPUTED_VALUE"""),0.1047)</f>
        <v>0.1047</v>
      </c>
      <c r="G5" s="7">
        <f>IFERROR(__xludf.DUMMYFUNCTION("""COMPUTED_VALUE"""),42013.99861111111)</f>
        <v>42013.99861</v>
      </c>
      <c r="H5" s="5">
        <f>IFERROR(__xludf.DUMMYFUNCTION("""COMPUTED_VALUE"""),0.13439)</f>
        <v>0.13439</v>
      </c>
      <c r="J5" s="7">
        <f>IFERROR(__xludf.DUMMYFUNCTION("""COMPUTED_VALUE"""),42014.99861111111)</f>
        <v>42014.99861</v>
      </c>
      <c r="K5" s="5">
        <f>IFERROR(__xludf.DUMMYFUNCTION("""COMPUTED_VALUE"""),1.2793)</f>
        <v>1.2793</v>
      </c>
    </row>
    <row r="6">
      <c r="A6" s="6">
        <f>IFERROR(__xludf.DUMMYFUNCTION("""COMPUTED_VALUE"""),42021.99861111111)</f>
        <v>42021.99861</v>
      </c>
      <c r="B6" s="5">
        <f>IFERROR(__xludf.DUMMYFUNCTION("""COMPUTED_VALUE"""),0.00735)</f>
        <v>0.00735</v>
      </c>
      <c r="D6" s="7">
        <f>IFERROR(__xludf.DUMMYFUNCTION("""COMPUTED_VALUE"""),42020.99861111111)</f>
        <v>42020.99861</v>
      </c>
      <c r="E6" s="5">
        <f>IFERROR(__xludf.DUMMYFUNCTION("""COMPUTED_VALUE"""),0.10679)</f>
        <v>0.10679</v>
      </c>
      <c r="G6" s="7">
        <f>IFERROR(__xludf.DUMMYFUNCTION("""COMPUTED_VALUE"""),42020.99861111111)</f>
        <v>42020.99861</v>
      </c>
      <c r="H6" s="5">
        <f>IFERROR(__xludf.DUMMYFUNCTION("""COMPUTED_VALUE"""),0.13446)</f>
        <v>0.13446</v>
      </c>
      <c r="J6" s="7">
        <f>IFERROR(__xludf.DUMMYFUNCTION("""COMPUTED_VALUE"""),42021.99861111111)</f>
        <v>42021.99861</v>
      </c>
      <c r="K6" s="5">
        <f>IFERROR(__xludf.DUMMYFUNCTION("""COMPUTED_VALUE"""),1.3083)</f>
        <v>1.3083</v>
      </c>
    </row>
    <row r="7">
      <c r="A7" s="7">
        <f>IFERROR(__xludf.DUMMYFUNCTION("""COMPUTED_VALUE"""),42028.99861111111)</f>
        <v>42028.99861</v>
      </c>
      <c r="B7" s="5">
        <f>IFERROR(__xludf.DUMMYFUNCTION("""COMPUTED_VALUE"""),0.00758)</f>
        <v>0.00758</v>
      </c>
      <c r="D7" s="7">
        <f>IFERROR(__xludf.DUMMYFUNCTION("""COMPUTED_VALUE"""),42028.99861111111)</f>
        <v>42028.99861</v>
      </c>
      <c r="E7" s="5">
        <f>IFERROR(__xludf.DUMMYFUNCTION("""COMPUTED_VALUE"""),0.1069)</f>
        <v>0.1069</v>
      </c>
      <c r="G7" s="7">
        <f>IFERROR(__xludf.DUMMYFUNCTION("""COMPUTED_VALUE"""),42028.99861111111)</f>
        <v>42028.99861</v>
      </c>
      <c r="H7" s="5">
        <f>IFERROR(__xludf.DUMMYFUNCTION("""COMPUTED_VALUE"""),0.1343)</f>
        <v>0.1343</v>
      </c>
      <c r="J7" s="7">
        <f>IFERROR(__xludf.DUMMYFUNCTION("""COMPUTED_VALUE"""),42028.99861111111)</f>
        <v>42028.99861</v>
      </c>
      <c r="K7" s="5">
        <f>IFERROR(__xludf.DUMMYFUNCTION("""COMPUTED_VALUE"""),1.3368)</f>
        <v>1.3368</v>
      </c>
    </row>
    <row r="8">
      <c r="A8" s="7">
        <f>IFERROR(__xludf.DUMMYFUNCTION("""COMPUTED_VALUE"""),42035.99861111111)</f>
        <v>42035.99861</v>
      </c>
      <c r="B8" s="5">
        <f>IFERROR(__xludf.DUMMYFUNCTION("""COMPUTED_VALUE"""),0.00754)</f>
        <v>0.00754</v>
      </c>
      <c r="D8" s="7">
        <f>IFERROR(__xludf.DUMMYFUNCTION("""COMPUTED_VALUE"""),42035.99861111111)</f>
        <v>42035.99861</v>
      </c>
      <c r="E8" s="5">
        <f>IFERROR(__xludf.DUMMYFUNCTION("""COMPUTED_VALUE"""),0.10691)</f>
        <v>0.10691</v>
      </c>
      <c r="G8" s="7">
        <f>IFERROR(__xludf.DUMMYFUNCTION("""COMPUTED_VALUE"""),42035.99861111111)</f>
        <v>42035.99861</v>
      </c>
      <c r="H8" s="5">
        <f>IFERROR(__xludf.DUMMYFUNCTION("""COMPUTED_VALUE"""),0.13439)</f>
        <v>0.13439</v>
      </c>
      <c r="J8" s="7">
        <f>IFERROR(__xludf.DUMMYFUNCTION("""COMPUTED_VALUE"""),42035.99861111111)</f>
        <v>42035.99861</v>
      </c>
      <c r="K8" s="5">
        <f>IFERROR(__xludf.DUMMYFUNCTION("""COMPUTED_VALUE"""),1.3351)</f>
        <v>1.3351</v>
      </c>
    </row>
    <row r="9">
      <c r="A9" s="7">
        <f>IFERROR(__xludf.DUMMYFUNCTION("""COMPUTED_VALUE"""),42042.99861111111)</f>
        <v>42042.99861</v>
      </c>
      <c r="B9" s="5">
        <f>IFERROR(__xludf.DUMMYFUNCTION("""COMPUTED_VALUE"""),0.00742)</f>
        <v>0.00742</v>
      </c>
      <c r="D9" s="7">
        <f>IFERROR(__xludf.DUMMYFUNCTION("""COMPUTED_VALUE"""),42041.99861111111)</f>
        <v>42041.99861</v>
      </c>
      <c r="E9" s="5">
        <f>IFERROR(__xludf.DUMMYFUNCTION("""COMPUTED_VALUE"""),0.10501)</f>
        <v>0.10501</v>
      </c>
      <c r="G9" s="7">
        <f>IFERROR(__xludf.DUMMYFUNCTION("""COMPUTED_VALUE"""),42041.99861111111)</f>
        <v>42041.99861</v>
      </c>
      <c r="H9" s="5">
        <f>IFERROR(__xludf.DUMMYFUNCTION("""COMPUTED_VALUE"""),0.13436)</f>
        <v>0.13436</v>
      </c>
      <c r="J9" s="7">
        <f>IFERROR(__xludf.DUMMYFUNCTION("""COMPUTED_VALUE"""),42042.99861111111)</f>
        <v>42042.99861</v>
      </c>
      <c r="K9" s="5">
        <f>IFERROR(__xludf.DUMMYFUNCTION("""COMPUTED_VALUE"""),1.3461)</f>
        <v>1.3461</v>
      </c>
    </row>
    <row r="10">
      <c r="A10" s="7">
        <f>IFERROR(__xludf.DUMMYFUNCTION("""COMPUTED_VALUE"""),42049.99861111111)</f>
        <v>42049.99861</v>
      </c>
      <c r="B10" s="5">
        <f>IFERROR(__xludf.DUMMYFUNCTION("""COMPUTED_VALUE"""),0.00739)</f>
        <v>0.00739</v>
      </c>
      <c r="D10" s="7">
        <f>IFERROR(__xludf.DUMMYFUNCTION("""COMPUTED_VALUE"""),42049.99861111111)</f>
        <v>42049.99861</v>
      </c>
      <c r="E10" s="5">
        <f>IFERROR(__xludf.DUMMYFUNCTION("""COMPUTED_VALUE"""),0.10419)</f>
        <v>0.10419</v>
      </c>
      <c r="G10" s="7">
        <f>IFERROR(__xludf.DUMMYFUNCTION("""COMPUTED_VALUE"""),42048.99861111111)</f>
        <v>42048.99861</v>
      </c>
      <c r="H10" s="5">
        <f>IFERROR(__xludf.DUMMYFUNCTION("""COMPUTED_VALUE"""),0.13432)</f>
        <v>0.13432</v>
      </c>
      <c r="J10" s="7">
        <f>IFERROR(__xludf.DUMMYFUNCTION("""COMPUTED_VALUE"""),42049.99861111111)</f>
        <v>42049.99861</v>
      </c>
      <c r="K10" s="5">
        <f>IFERROR(__xludf.DUMMYFUNCTION("""COMPUTED_VALUE"""),1.3495)</f>
        <v>1.3495</v>
      </c>
    </row>
    <row r="11">
      <c r="A11" s="7">
        <f>IFERROR(__xludf.DUMMYFUNCTION("""COMPUTED_VALUE"""),42056.99861111111)</f>
        <v>42056.99861</v>
      </c>
      <c r="B11" s="5">
        <f>IFERROR(__xludf.DUMMYFUNCTION("""COMPUTED_VALUE"""),0.00738)</f>
        <v>0.00738</v>
      </c>
      <c r="D11" s="7">
        <f>IFERROR(__xludf.DUMMYFUNCTION("""COMPUTED_VALUE"""),42056.99861111111)</f>
        <v>42056.99861</v>
      </c>
      <c r="E11" s="5">
        <f>IFERROR(__xludf.DUMMYFUNCTION("""COMPUTED_VALUE"""),0.10491)</f>
        <v>0.10491</v>
      </c>
      <c r="G11" s="7">
        <f>IFERROR(__xludf.DUMMYFUNCTION("""COMPUTED_VALUE"""),42056.99861111111)</f>
        <v>42056.99861</v>
      </c>
      <c r="H11" s="5">
        <f>IFERROR(__xludf.DUMMYFUNCTION("""COMPUTED_VALUE"""),0.13398)</f>
        <v>0.13398</v>
      </c>
      <c r="J11" s="7">
        <f>IFERROR(__xludf.DUMMYFUNCTION("""COMPUTED_VALUE"""),42056.99861111111)</f>
        <v>42056.99861</v>
      </c>
      <c r="K11" s="5">
        <f>IFERROR(__xludf.DUMMYFUNCTION("""COMPUTED_VALUE"""),1.3526)</f>
        <v>1.3526</v>
      </c>
    </row>
    <row r="12">
      <c r="A12" s="7">
        <f>IFERROR(__xludf.DUMMYFUNCTION("""COMPUTED_VALUE"""),42063.99861111111)</f>
        <v>42063.99861</v>
      </c>
      <c r="B12" s="5">
        <f>IFERROR(__xludf.DUMMYFUNCTION("""COMPUTED_VALUE"""),0.00747)</f>
        <v>0.00747</v>
      </c>
      <c r="D12" s="7">
        <f>IFERROR(__xludf.DUMMYFUNCTION("""COMPUTED_VALUE"""),42063.99861111111)</f>
        <v>42063.99861</v>
      </c>
      <c r="E12" s="5">
        <f>IFERROR(__xludf.DUMMYFUNCTION("""COMPUTED_VALUE"""),0.10712)</f>
        <v>0.10712</v>
      </c>
      <c r="G12" s="7">
        <f>IFERROR(__xludf.DUMMYFUNCTION("""COMPUTED_VALUE"""),42063.99861111111)</f>
        <v>42063.99861</v>
      </c>
      <c r="H12" s="5">
        <f>IFERROR(__xludf.DUMMYFUNCTION("""COMPUTED_VALUE"""),0.134)</f>
        <v>0.134</v>
      </c>
      <c r="J12" s="7">
        <f>IFERROR(__xludf.DUMMYFUNCTION("""COMPUTED_VALUE"""),42063.99861111111)</f>
        <v>42063.99861</v>
      </c>
      <c r="K12" s="5">
        <f>IFERROR(__xludf.DUMMYFUNCTION("""COMPUTED_VALUE"""),1.3773)</f>
        <v>1.3773</v>
      </c>
    </row>
    <row r="13">
      <c r="A13" s="7">
        <f>IFERROR(__xludf.DUMMYFUNCTION("""COMPUTED_VALUE"""),42070.99861111111)</f>
        <v>42070.99861</v>
      </c>
      <c r="B13" s="5">
        <f>IFERROR(__xludf.DUMMYFUNCTION("""COMPUTED_VALUE"""),0.00763)</f>
        <v>0.00763</v>
      </c>
      <c r="D13" s="7">
        <f>IFERROR(__xludf.DUMMYFUNCTION("""COMPUTED_VALUE"""),42069.99861111111)</f>
        <v>42069.99861</v>
      </c>
      <c r="E13" s="5">
        <f>IFERROR(__xludf.DUMMYFUNCTION("""COMPUTED_VALUE"""),0.10894)</f>
        <v>0.10894</v>
      </c>
      <c r="G13" s="7">
        <f>IFERROR(__xludf.DUMMYFUNCTION("""COMPUTED_VALUE"""),42069.99861111111)</f>
        <v>42069.99861</v>
      </c>
      <c r="H13" s="5">
        <f>IFERROR(__xludf.DUMMYFUNCTION("""COMPUTED_VALUE"""),0.13422)</f>
        <v>0.13422</v>
      </c>
      <c r="J13" s="7">
        <f>IFERROR(__xludf.DUMMYFUNCTION("""COMPUTED_VALUE"""),42070.99861111111)</f>
        <v>42070.99861</v>
      </c>
      <c r="K13" s="5">
        <f>IFERROR(__xludf.DUMMYFUNCTION("""COMPUTED_VALUE"""),1.386)</f>
        <v>1.386</v>
      </c>
    </row>
    <row r="14">
      <c r="A14" s="7">
        <f>IFERROR(__xludf.DUMMYFUNCTION("""COMPUTED_VALUE"""),42077.99861111111)</f>
        <v>42077.99861</v>
      </c>
      <c r="B14" s="5">
        <f>IFERROR(__xludf.DUMMYFUNCTION("""COMPUTED_VALUE"""),0.00785)</f>
        <v>0.00785</v>
      </c>
      <c r="D14" s="7">
        <f>IFERROR(__xludf.DUMMYFUNCTION("""COMPUTED_VALUE"""),42077.99861111111)</f>
        <v>42077.99861</v>
      </c>
      <c r="E14" s="5">
        <f>IFERROR(__xludf.DUMMYFUNCTION("""COMPUTED_VALUE"""),0.10916)</f>
        <v>0.10916</v>
      </c>
      <c r="G14" s="7">
        <f>IFERROR(__xludf.DUMMYFUNCTION("""COMPUTED_VALUE"""),42077.99861111111)</f>
        <v>42077.99861</v>
      </c>
      <c r="H14" s="5">
        <f>IFERROR(__xludf.DUMMYFUNCTION("""COMPUTED_VALUE"""),0.13404)</f>
        <v>0.13404</v>
      </c>
      <c r="J14" s="7">
        <f>IFERROR(__xludf.DUMMYFUNCTION("""COMPUTED_VALUE"""),42077.99861111111)</f>
        <v>42077.99861</v>
      </c>
      <c r="K14" s="5">
        <f>IFERROR(__xludf.DUMMYFUNCTION("""COMPUTED_VALUE"""),1.4047)</f>
        <v>1.4047</v>
      </c>
    </row>
    <row r="15">
      <c r="A15" s="7">
        <f>IFERROR(__xludf.DUMMYFUNCTION("""COMPUTED_VALUE"""),42084.99861111111)</f>
        <v>42084.99861</v>
      </c>
      <c r="B15" s="5">
        <f>IFERROR(__xludf.DUMMYFUNCTION("""COMPUTED_VALUE"""),0.0077)</f>
        <v>0.0077</v>
      </c>
      <c r="D15" s="7">
        <f>IFERROR(__xludf.DUMMYFUNCTION("""COMPUTED_VALUE"""),42084.99861111111)</f>
        <v>42084.99861</v>
      </c>
      <c r="E15" s="5">
        <f>IFERROR(__xludf.DUMMYFUNCTION("""COMPUTED_VALUE"""),0.10705)</f>
        <v>0.10705</v>
      </c>
      <c r="G15" s="7">
        <f>IFERROR(__xludf.DUMMYFUNCTION("""COMPUTED_VALUE"""),42084.99861111111)</f>
        <v>42084.99861</v>
      </c>
      <c r="H15" s="5">
        <f>IFERROR(__xludf.DUMMYFUNCTION("""COMPUTED_VALUE"""),0.13413)</f>
        <v>0.13413</v>
      </c>
      <c r="J15" s="7">
        <f>IFERROR(__xludf.DUMMYFUNCTION("""COMPUTED_VALUE"""),42084.99861111111)</f>
        <v>42084.99861</v>
      </c>
      <c r="K15" s="5">
        <f>IFERROR(__xludf.DUMMYFUNCTION("""COMPUTED_VALUE"""),1.3814)</f>
        <v>1.3814</v>
      </c>
    </row>
    <row r="16">
      <c r="A16" s="7">
        <f>IFERROR(__xludf.DUMMYFUNCTION("""COMPUTED_VALUE"""),42091.99861111111)</f>
        <v>42091.99861</v>
      </c>
      <c r="B16" s="5">
        <f>IFERROR(__xludf.DUMMYFUNCTION("""COMPUTED_VALUE"""),0.00771)</f>
        <v>0.00771</v>
      </c>
      <c r="D16" s="7">
        <f>IFERROR(__xludf.DUMMYFUNCTION("""COMPUTED_VALUE"""),42090.99861111111)</f>
        <v>42090.99861</v>
      </c>
      <c r="E16" s="5">
        <f>IFERROR(__xludf.DUMMYFUNCTION("""COMPUTED_VALUE"""),0.10679)</f>
        <v>0.10679</v>
      </c>
      <c r="G16" s="7">
        <f>IFERROR(__xludf.DUMMYFUNCTION("""COMPUTED_VALUE"""),42090.99861111111)</f>
        <v>42090.99861</v>
      </c>
      <c r="H16" s="5">
        <f>IFERROR(__xludf.DUMMYFUNCTION("""COMPUTED_VALUE"""),0.13388)</f>
        <v>0.13388</v>
      </c>
      <c r="J16" s="7">
        <f>IFERROR(__xludf.DUMMYFUNCTION("""COMPUTED_VALUE"""),42091.99861111111)</f>
        <v>42091.99861</v>
      </c>
      <c r="K16" s="5">
        <f>IFERROR(__xludf.DUMMYFUNCTION("""COMPUTED_VALUE"""),1.3651)</f>
        <v>1.3651</v>
      </c>
    </row>
    <row r="17">
      <c r="A17" s="7">
        <f>IFERROR(__xludf.DUMMYFUNCTION("""COMPUTED_VALUE"""),42098.99861111111)</f>
        <v>42098.99861</v>
      </c>
      <c r="B17" s="5">
        <f>IFERROR(__xludf.DUMMYFUNCTION("""COMPUTED_VALUE"""),0.00766)</f>
        <v>0.00766</v>
      </c>
      <c r="D17" s="7">
        <f>IFERROR(__xludf.DUMMYFUNCTION("""COMPUTED_VALUE"""),42097.99861111111)</f>
        <v>42097.99861</v>
      </c>
      <c r="E17" s="5">
        <f>IFERROR(__xludf.DUMMYFUNCTION("""COMPUTED_VALUE"""),0.10652)</f>
        <v>0.10652</v>
      </c>
      <c r="G17" s="7">
        <f>IFERROR(__xludf.DUMMYFUNCTION("""COMPUTED_VALUE"""),42097.99861111111)</f>
        <v>42097.99861</v>
      </c>
      <c r="H17" s="5">
        <f>IFERROR(__xludf.DUMMYFUNCTION("""COMPUTED_VALUE"""),0.13377)</f>
        <v>0.13377</v>
      </c>
      <c r="J17" s="7">
        <f>IFERROR(__xludf.DUMMYFUNCTION("""COMPUTED_VALUE"""),42098.99861111111)</f>
        <v>42098.99861</v>
      </c>
      <c r="K17" s="5">
        <f>IFERROR(__xludf.DUMMYFUNCTION("""COMPUTED_VALUE"""),1.3576)</f>
        <v>1.3576</v>
      </c>
    </row>
    <row r="18">
      <c r="A18" s="7">
        <f>IFERROR(__xludf.DUMMYFUNCTION("""COMPUTED_VALUE"""),42105.99861111111)</f>
        <v>42105.99861</v>
      </c>
      <c r="B18" s="5">
        <f>IFERROR(__xludf.DUMMYFUNCTION("""COMPUTED_VALUE"""),0.00784)</f>
        <v>0.00784</v>
      </c>
      <c r="D18" s="7">
        <f>IFERROR(__xludf.DUMMYFUNCTION("""COMPUTED_VALUE"""),42105.99861111111)</f>
        <v>42105.99861</v>
      </c>
      <c r="E18" s="5">
        <f>IFERROR(__xludf.DUMMYFUNCTION("""COMPUTED_VALUE"""),0.10675)</f>
        <v>0.10675</v>
      </c>
      <c r="G18" s="7">
        <f>IFERROR(__xludf.DUMMYFUNCTION("""COMPUTED_VALUE"""),42105.99861111111)</f>
        <v>42105.99861</v>
      </c>
      <c r="H18" s="5">
        <f>IFERROR(__xludf.DUMMYFUNCTION("""COMPUTED_VALUE"""),0.13381)</f>
        <v>0.13381</v>
      </c>
      <c r="J18" s="7">
        <f>IFERROR(__xludf.DUMMYFUNCTION("""COMPUTED_VALUE"""),42105.99861111111)</f>
        <v>42105.99861</v>
      </c>
      <c r="K18" s="5">
        <f>IFERROR(__xludf.DUMMYFUNCTION("""COMPUTED_VALUE"""),1.3805)</f>
        <v>1.3805</v>
      </c>
    </row>
    <row r="19">
      <c r="A19" s="7">
        <f>IFERROR(__xludf.DUMMYFUNCTION("""COMPUTED_VALUE"""),42112.99861111111)</f>
        <v>42112.99861</v>
      </c>
      <c r="B19" s="5">
        <f>IFERROR(__xludf.DUMMYFUNCTION("""COMPUTED_VALUE"""),0.00778)</f>
        <v>0.00778</v>
      </c>
      <c r="D19" s="7">
        <f>IFERROR(__xludf.DUMMYFUNCTION("""COMPUTED_VALUE"""),42112.99861111111)</f>
        <v>42112.99861</v>
      </c>
      <c r="E19" s="5">
        <f>IFERROR(__xludf.DUMMYFUNCTION("""COMPUTED_VALUE"""),0.10712)</f>
        <v>0.10712</v>
      </c>
      <c r="G19" s="7">
        <f>IFERROR(__xludf.DUMMYFUNCTION("""COMPUTED_VALUE"""),42111.99861111111)</f>
        <v>42111.99861</v>
      </c>
      <c r="H19" s="5">
        <f>IFERROR(__xludf.DUMMYFUNCTION("""COMPUTED_VALUE"""),0.13402)</f>
        <v>0.13402</v>
      </c>
      <c r="J19" s="7">
        <f>IFERROR(__xludf.DUMMYFUNCTION("""COMPUTED_VALUE"""),42112.99861111111)</f>
        <v>42112.99861</v>
      </c>
      <c r="K19" s="5">
        <f>IFERROR(__xludf.DUMMYFUNCTION("""COMPUTED_VALUE"""),1.3842)</f>
        <v>1.3842</v>
      </c>
    </row>
    <row r="20">
      <c r="A20" s="7">
        <f>IFERROR(__xludf.DUMMYFUNCTION("""COMPUTED_VALUE"""),42119.99861111111)</f>
        <v>42119.99861</v>
      </c>
      <c r="B20" s="5">
        <f>IFERROR(__xludf.DUMMYFUNCTION("""COMPUTED_VALUE"""),0.00773)</f>
        <v>0.00773</v>
      </c>
      <c r="D20" s="7">
        <f>IFERROR(__xludf.DUMMYFUNCTION("""COMPUTED_VALUE"""),42118.99861111111)</f>
        <v>42118.99861</v>
      </c>
      <c r="E20" s="5">
        <f>IFERROR(__xludf.DUMMYFUNCTION("""COMPUTED_VALUE"""),0.10644)</f>
        <v>0.10644</v>
      </c>
      <c r="G20" s="7">
        <f>IFERROR(__xludf.DUMMYFUNCTION("""COMPUTED_VALUE"""),42118.99861111111)</f>
        <v>42118.99861</v>
      </c>
      <c r="H20" s="5">
        <f>IFERROR(__xludf.DUMMYFUNCTION("""COMPUTED_VALUE"""),0.13399)</f>
        <v>0.13399</v>
      </c>
      <c r="J20" s="7">
        <f>IFERROR(__xludf.DUMMYFUNCTION("""COMPUTED_VALUE"""),42119.99861111111)</f>
        <v>42119.99861</v>
      </c>
      <c r="K20" s="5">
        <f>IFERROR(__xludf.DUMMYFUNCTION("""COMPUTED_VALUE"""),1.3941)</f>
        <v>1.3941</v>
      </c>
    </row>
    <row r="21">
      <c r="A21" s="7">
        <f>IFERROR(__xludf.DUMMYFUNCTION("""COMPUTED_VALUE"""),42126.99861111111)</f>
        <v>42126.99861</v>
      </c>
      <c r="B21" s="5">
        <f>IFERROR(__xludf.DUMMYFUNCTION("""COMPUTED_VALUE"""),0.00743)</f>
        <v>0.00743</v>
      </c>
      <c r="D21" s="7">
        <f>IFERROR(__xludf.DUMMYFUNCTION("""COMPUTED_VALUE"""),42125.99861111111)</f>
        <v>42125.99861</v>
      </c>
      <c r="E21" s="5">
        <f>IFERROR(__xludf.DUMMYFUNCTION("""COMPUTED_VALUE"""),0.1062)</f>
        <v>0.1062</v>
      </c>
      <c r="G21" s="7">
        <f>IFERROR(__xludf.DUMMYFUNCTION("""COMPUTED_VALUE"""),42125.99861111111)</f>
        <v>42125.99861</v>
      </c>
      <c r="H21" s="5">
        <f>IFERROR(__xludf.DUMMYFUNCTION("""COMPUTED_VALUE"""),0.13392)</f>
        <v>0.13392</v>
      </c>
      <c r="J21" s="7">
        <f>IFERROR(__xludf.DUMMYFUNCTION("""COMPUTED_VALUE"""),42126.99861111111)</f>
        <v>42126.99861</v>
      </c>
      <c r="K21" s="5">
        <f>IFERROR(__xludf.DUMMYFUNCTION("""COMPUTED_VALUE"""),1.3514)</f>
        <v>1.3514</v>
      </c>
    </row>
    <row r="22">
      <c r="A22" s="7">
        <f>IFERROR(__xludf.DUMMYFUNCTION("""COMPUTED_VALUE"""),42133.99861111111)</f>
        <v>42133.99861</v>
      </c>
      <c r="B22" s="5">
        <f>IFERROR(__xludf.DUMMYFUNCTION("""COMPUTED_VALUE"""),0.00745)</f>
        <v>0.00745</v>
      </c>
      <c r="D22" s="7">
        <f>IFERROR(__xludf.DUMMYFUNCTION("""COMPUTED_VALUE"""),42132.99861111111)</f>
        <v>42132.99861</v>
      </c>
      <c r="E22" s="5">
        <f>IFERROR(__xludf.DUMMYFUNCTION("""COMPUTED_VALUE"""),0.10797)</f>
        <v>0.10797</v>
      </c>
      <c r="G22" s="7">
        <f>IFERROR(__xludf.DUMMYFUNCTION("""COMPUTED_VALUE"""),42132.99861111111)</f>
        <v>42132.99861</v>
      </c>
      <c r="H22" s="5">
        <f>IFERROR(__xludf.DUMMYFUNCTION("""COMPUTED_VALUE"""),0.13398)</f>
        <v>0.13398</v>
      </c>
      <c r="J22" s="7">
        <f>IFERROR(__xludf.DUMMYFUNCTION("""COMPUTED_VALUE"""),42133.99861111111)</f>
        <v>42133.99861</v>
      </c>
      <c r="K22" s="5">
        <f>IFERROR(__xludf.DUMMYFUNCTION("""COMPUTED_VALUE"""),1.3771)</f>
        <v>1.3771</v>
      </c>
    </row>
    <row r="23">
      <c r="A23" s="7">
        <f>IFERROR(__xludf.DUMMYFUNCTION("""COMPUTED_VALUE"""),42140.99861111111)</f>
        <v>42140.99861</v>
      </c>
      <c r="B23" s="5">
        <f>IFERROR(__xludf.DUMMYFUNCTION("""COMPUTED_VALUE"""),0.00732)</f>
        <v>0.00732</v>
      </c>
      <c r="D23" s="7">
        <f>IFERROR(__xludf.DUMMYFUNCTION("""COMPUTED_VALUE"""),42139.99861111111)</f>
        <v>42139.99861</v>
      </c>
      <c r="E23" s="5">
        <f>IFERROR(__xludf.DUMMYFUNCTION("""COMPUTED_VALUE"""),0.10655)</f>
        <v>0.10655</v>
      </c>
      <c r="G23" s="7">
        <f>IFERROR(__xludf.DUMMYFUNCTION("""COMPUTED_VALUE"""),42139.99861111111)</f>
        <v>42139.99861</v>
      </c>
      <c r="H23" s="5">
        <f>IFERROR(__xludf.DUMMYFUNCTION("""COMPUTED_VALUE"""),0.13393)</f>
        <v>0.13393</v>
      </c>
      <c r="J23" s="7">
        <f>IFERROR(__xludf.DUMMYFUNCTION("""COMPUTED_VALUE"""),42140.99861111111)</f>
        <v>42140.99861</v>
      </c>
      <c r="K23" s="5">
        <f>IFERROR(__xludf.DUMMYFUNCTION("""COMPUTED_VALUE"""),1.373)</f>
        <v>1.373</v>
      </c>
    </row>
    <row r="24">
      <c r="A24" s="7">
        <f>IFERROR(__xludf.DUMMYFUNCTION("""COMPUTED_VALUE"""),42147.99861111111)</f>
        <v>42147.99861</v>
      </c>
      <c r="B24" s="5">
        <f>IFERROR(__xludf.DUMMYFUNCTION("""COMPUTED_VALUE"""),0.00747)</f>
        <v>0.00747</v>
      </c>
      <c r="D24" s="7">
        <f>IFERROR(__xludf.DUMMYFUNCTION("""COMPUTED_VALUE"""),42146.99861111111)</f>
        <v>42146.99861</v>
      </c>
      <c r="E24" s="5">
        <f>IFERROR(__xludf.DUMMYFUNCTION("""COMPUTED_VALUE"""),0.10801)</f>
        <v>0.10801</v>
      </c>
      <c r="G24" s="7">
        <f>IFERROR(__xludf.DUMMYFUNCTION("""COMPUTED_VALUE"""),42146.99861111111)</f>
        <v>42146.99861</v>
      </c>
      <c r="H24" s="5">
        <f>IFERROR(__xludf.DUMMYFUNCTION("""COMPUTED_VALUE"""),0.13407)</f>
        <v>0.13407</v>
      </c>
      <c r="J24" s="7">
        <f>IFERROR(__xludf.DUMMYFUNCTION("""COMPUTED_VALUE"""),42147.99861111111)</f>
        <v>42147.99861</v>
      </c>
      <c r="K24" s="5">
        <f>IFERROR(__xludf.DUMMYFUNCTION("""COMPUTED_VALUE"""),1.404)</f>
        <v>1.404</v>
      </c>
    </row>
    <row r="25">
      <c r="A25" s="7">
        <f>IFERROR(__xludf.DUMMYFUNCTION("""COMPUTED_VALUE"""),42153.99861111111)</f>
        <v>42153.99861</v>
      </c>
      <c r="B25" s="5">
        <f>IFERROR(__xludf.DUMMYFUNCTION("""COMPUTED_VALUE"""),0.00733)</f>
        <v>0.00733</v>
      </c>
      <c r="D25" s="7">
        <f>IFERROR(__xludf.DUMMYFUNCTION("""COMPUTED_VALUE"""),42153.99861111111)</f>
        <v>42153.99861</v>
      </c>
      <c r="E25" s="5">
        <f>IFERROR(__xludf.DUMMYFUNCTION("""COMPUTED_VALUE"""),0.10659)</f>
        <v>0.10659</v>
      </c>
      <c r="G25" s="7">
        <f>IFERROR(__xludf.DUMMYFUNCTION("""COMPUTED_VALUE"""),42153.99861111111)</f>
        <v>42153.99861</v>
      </c>
      <c r="H25" s="5">
        <f>IFERROR(__xludf.DUMMYFUNCTION("""COMPUTED_VALUE"""),0.13402)</f>
        <v>0.13402</v>
      </c>
      <c r="J25" s="7">
        <f>IFERROR(__xludf.DUMMYFUNCTION("""COMPUTED_VALUE"""),42153.99861111111)</f>
        <v>42153.99861</v>
      </c>
      <c r="K25" s="5">
        <f>IFERROR(__xludf.DUMMYFUNCTION("""COMPUTED_VALUE"""),1.3909)</f>
        <v>1.3909</v>
      </c>
    </row>
    <row r="26">
      <c r="A26" s="7">
        <f>IFERROR(__xludf.DUMMYFUNCTION("""COMPUTED_VALUE"""),42160.99861111111)</f>
        <v>42160.99861</v>
      </c>
      <c r="B26" s="5">
        <f>IFERROR(__xludf.DUMMYFUNCTION("""COMPUTED_VALUE"""),0.00716)</f>
        <v>0.00716</v>
      </c>
      <c r="D26" s="7">
        <f>IFERROR(__xludf.DUMMYFUNCTION("""COMPUTED_VALUE"""),42160.99861111111)</f>
        <v>42160.99861</v>
      </c>
      <c r="E26" s="5">
        <f>IFERROR(__xludf.DUMMYFUNCTION("""COMPUTED_VALUE"""),0.10734)</f>
        <v>0.10734</v>
      </c>
      <c r="G26" s="7">
        <f>IFERROR(__xludf.DUMMYFUNCTION("""COMPUTED_VALUE"""),42160.99861111111)</f>
        <v>42160.99861</v>
      </c>
      <c r="H26" s="5">
        <f>IFERROR(__xludf.DUMMYFUNCTION("""COMPUTED_VALUE"""),0.13402)</f>
        <v>0.13402</v>
      </c>
      <c r="J26" s="7">
        <f>IFERROR(__xludf.DUMMYFUNCTION("""COMPUTED_VALUE"""),42160.99861111111)</f>
        <v>42160.99861</v>
      </c>
      <c r="K26" s="5">
        <f>IFERROR(__xludf.DUMMYFUNCTION("""COMPUTED_VALUE"""),1.3729)</f>
        <v>1.3729</v>
      </c>
    </row>
    <row r="27">
      <c r="A27" s="7">
        <f>IFERROR(__xludf.DUMMYFUNCTION("""COMPUTED_VALUE"""),42167.99861111111)</f>
        <v>42167.99861</v>
      </c>
      <c r="B27" s="5">
        <f>IFERROR(__xludf.DUMMYFUNCTION("""COMPUTED_VALUE"""),0.0072)</f>
        <v>0.0072</v>
      </c>
      <c r="D27" s="7">
        <f>IFERROR(__xludf.DUMMYFUNCTION("""COMPUTED_VALUE"""),42167.99861111111)</f>
        <v>42167.99861</v>
      </c>
      <c r="E27" s="5">
        <f>IFERROR(__xludf.DUMMYFUNCTION("""COMPUTED_VALUE"""),0.10836)</f>
        <v>0.10836</v>
      </c>
      <c r="G27" s="7">
        <f>IFERROR(__xludf.DUMMYFUNCTION("""COMPUTED_VALUE"""),42167.99861111111)</f>
        <v>42167.99861</v>
      </c>
      <c r="H27" s="5">
        <f>IFERROR(__xludf.DUMMYFUNCTION("""COMPUTED_VALUE"""),0.13404)</f>
        <v>0.13404</v>
      </c>
      <c r="J27" s="7">
        <f>IFERROR(__xludf.DUMMYFUNCTION("""COMPUTED_VALUE"""),42167.99861111111)</f>
        <v>42167.99861</v>
      </c>
      <c r="K27" s="5">
        <f>IFERROR(__xludf.DUMMYFUNCTION("""COMPUTED_VALUE"""),1.3797)</f>
        <v>1.3797</v>
      </c>
    </row>
    <row r="28">
      <c r="A28" s="7">
        <f>IFERROR(__xludf.DUMMYFUNCTION("""COMPUTED_VALUE"""),42174.99861111111)</f>
        <v>42174.99861</v>
      </c>
      <c r="B28" s="5">
        <f>IFERROR(__xludf.DUMMYFUNCTION("""COMPUTED_VALUE"""),0.00718)</f>
        <v>0.00718</v>
      </c>
      <c r="D28" s="7">
        <f>IFERROR(__xludf.DUMMYFUNCTION("""COMPUTED_VALUE"""),42174.99861111111)</f>
        <v>42174.99861</v>
      </c>
      <c r="E28" s="5">
        <f>IFERROR(__xludf.DUMMYFUNCTION("""COMPUTED_VALUE"""),0.10848)</f>
        <v>0.10848</v>
      </c>
      <c r="G28" s="7">
        <f>IFERROR(__xludf.DUMMYFUNCTION("""COMPUTED_VALUE"""),42174.99861111111)</f>
        <v>42174.99861</v>
      </c>
      <c r="H28" s="5">
        <f>IFERROR(__xludf.DUMMYFUNCTION("""COMPUTED_VALUE"""),0.13402)</f>
        <v>0.13402</v>
      </c>
      <c r="J28" s="7">
        <f>IFERROR(__xludf.DUMMYFUNCTION("""COMPUTED_VALUE"""),42174.99861111111)</f>
        <v>42174.99861</v>
      </c>
      <c r="K28" s="5">
        <f>IFERROR(__xludf.DUMMYFUNCTION("""COMPUTED_VALUE"""),1.3966)</f>
        <v>1.3966</v>
      </c>
    </row>
    <row r="29">
      <c r="A29" s="7">
        <f>IFERROR(__xludf.DUMMYFUNCTION("""COMPUTED_VALUE"""),42181.99861111111)</f>
        <v>42181.99861</v>
      </c>
      <c r="B29" s="5">
        <f>IFERROR(__xludf.DUMMYFUNCTION("""COMPUTED_VALUE"""),0.00723)</f>
        <v>0.00723</v>
      </c>
      <c r="D29" s="7">
        <f>IFERROR(__xludf.DUMMYFUNCTION("""COMPUTED_VALUE"""),42181.99861111111)</f>
        <v>42181.99861</v>
      </c>
      <c r="E29" s="5">
        <f>IFERROR(__xludf.DUMMYFUNCTION("""COMPUTED_VALUE"""),0.10776)</f>
        <v>0.10776</v>
      </c>
      <c r="G29" s="7">
        <f>IFERROR(__xludf.DUMMYFUNCTION("""COMPUTED_VALUE"""),42181.99861111111)</f>
        <v>42181.99861</v>
      </c>
      <c r="H29" s="5">
        <f>IFERROR(__xludf.DUMMYFUNCTION("""COMPUTED_VALUE"""),0.13401)</f>
        <v>0.13401</v>
      </c>
      <c r="J29" s="7">
        <f>IFERROR(__xludf.DUMMYFUNCTION("""COMPUTED_VALUE"""),42181.99861111111)</f>
        <v>42181.99861</v>
      </c>
      <c r="K29" s="5">
        <f>IFERROR(__xludf.DUMMYFUNCTION("""COMPUTED_VALUE"""),1.4083)</f>
        <v>1.4083</v>
      </c>
    </row>
    <row r="30">
      <c r="A30" s="7">
        <f>IFERROR(__xludf.DUMMYFUNCTION("""COMPUTED_VALUE"""),42188.99861111111)</f>
        <v>42188.99861</v>
      </c>
      <c r="B30" s="5">
        <f>IFERROR(__xludf.DUMMYFUNCTION("""COMPUTED_VALUE"""),0.00733)</f>
        <v>0.00733</v>
      </c>
      <c r="D30" s="7">
        <f>IFERROR(__xludf.DUMMYFUNCTION("""COMPUTED_VALUE"""),42188.99861111111)</f>
        <v>42188.99861</v>
      </c>
      <c r="E30" s="5">
        <f>IFERROR(__xludf.DUMMYFUNCTION("""COMPUTED_VALUE"""),0.10633)</f>
        <v>0.10633</v>
      </c>
      <c r="G30" s="7">
        <f>IFERROR(__xludf.DUMMYFUNCTION("""COMPUTED_VALUE"""),42188.99861111111)</f>
        <v>42188.99861</v>
      </c>
      <c r="H30" s="5">
        <f>IFERROR(__xludf.DUMMYFUNCTION("""COMPUTED_VALUE"""),0.13401)</f>
        <v>0.13401</v>
      </c>
      <c r="J30" s="7">
        <f>IFERROR(__xludf.DUMMYFUNCTION("""COMPUTED_VALUE"""),42188.99861111111)</f>
        <v>42188.99861</v>
      </c>
      <c r="K30" s="5">
        <f>IFERROR(__xludf.DUMMYFUNCTION("""COMPUTED_VALUE"""),1.3992)</f>
        <v>1.3992</v>
      </c>
    </row>
    <row r="31">
      <c r="A31" s="7">
        <f>IFERROR(__xludf.DUMMYFUNCTION("""COMPUTED_VALUE"""),42195.99861111111)</f>
        <v>42195.99861</v>
      </c>
      <c r="B31" s="5">
        <f>IFERROR(__xludf.DUMMYFUNCTION("""COMPUTED_VALUE"""),0.0073)</f>
        <v>0.0073</v>
      </c>
      <c r="D31" s="7">
        <f>IFERROR(__xludf.DUMMYFUNCTION("""COMPUTED_VALUE"""),42195.99861111111)</f>
        <v>42195.99861</v>
      </c>
      <c r="E31" s="5">
        <f>IFERROR(__xludf.DUMMYFUNCTION("""COMPUTED_VALUE"""),0.10608)</f>
        <v>0.10608</v>
      </c>
      <c r="G31" s="7">
        <f>IFERROR(__xludf.DUMMYFUNCTION("""COMPUTED_VALUE"""),42195.99861111111)</f>
        <v>42195.99861</v>
      </c>
      <c r="H31" s="5">
        <f>IFERROR(__xludf.DUMMYFUNCTION("""COMPUTED_VALUE"""),0.13398)</f>
        <v>0.13398</v>
      </c>
      <c r="J31" s="7">
        <f>IFERROR(__xludf.DUMMYFUNCTION("""COMPUTED_VALUE"""),42195.99861111111)</f>
        <v>42195.99861</v>
      </c>
      <c r="K31" s="5">
        <f>IFERROR(__xludf.DUMMYFUNCTION("""COMPUTED_VALUE"""),1.3887)</f>
        <v>1.3887</v>
      </c>
    </row>
    <row r="32">
      <c r="A32" s="7">
        <f>IFERROR(__xludf.DUMMYFUNCTION("""COMPUTED_VALUE"""),42202.99861111111)</f>
        <v>42202.99861</v>
      </c>
      <c r="B32" s="5">
        <f>IFERROR(__xludf.DUMMYFUNCTION("""COMPUTED_VALUE"""),0.00744)</f>
        <v>0.00744</v>
      </c>
      <c r="D32" s="7">
        <f>IFERROR(__xludf.DUMMYFUNCTION("""COMPUTED_VALUE"""),42202.99861111111)</f>
        <v>42202.99861</v>
      </c>
      <c r="E32" s="5">
        <f>IFERROR(__xludf.DUMMYFUNCTION("""COMPUTED_VALUE"""),0.10649)</f>
        <v>0.10649</v>
      </c>
      <c r="G32" s="7">
        <f>IFERROR(__xludf.DUMMYFUNCTION("""COMPUTED_VALUE"""),42202.99861111111)</f>
        <v>42202.99861</v>
      </c>
      <c r="H32" s="5">
        <f>IFERROR(__xludf.DUMMYFUNCTION("""COMPUTED_VALUE"""),0.13401)</f>
        <v>0.13401</v>
      </c>
      <c r="J32" s="7">
        <f>IFERROR(__xludf.DUMMYFUNCTION("""COMPUTED_VALUE"""),42202.99861111111)</f>
        <v>42202.99861</v>
      </c>
      <c r="K32" s="5">
        <f>IFERROR(__xludf.DUMMYFUNCTION("""COMPUTED_VALUE"""),1.4387)</f>
        <v>1.4387</v>
      </c>
    </row>
    <row r="33">
      <c r="A33" s="7">
        <f>IFERROR(__xludf.DUMMYFUNCTION("""COMPUTED_VALUE"""),42209.99861111111)</f>
        <v>42209.99861</v>
      </c>
      <c r="B33" s="5">
        <f>IFERROR(__xludf.DUMMYFUNCTION("""COMPUTED_VALUE"""),0.00736)</f>
        <v>0.00736</v>
      </c>
      <c r="D33" s="7">
        <f>IFERROR(__xludf.DUMMYFUNCTION("""COMPUTED_VALUE"""),42209.99861111111)</f>
        <v>42209.99861</v>
      </c>
      <c r="E33" s="5">
        <f>IFERROR(__xludf.DUMMYFUNCTION("""COMPUTED_VALUE"""),0.10593)</f>
        <v>0.10593</v>
      </c>
      <c r="G33" s="7">
        <f>IFERROR(__xludf.DUMMYFUNCTION("""COMPUTED_VALUE"""),42209.99861111111)</f>
        <v>42209.99861</v>
      </c>
      <c r="H33" s="5">
        <f>IFERROR(__xludf.DUMMYFUNCTION("""COMPUTED_VALUE"""),0.13401)</f>
        <v>0.13401</v>
      </c>
      <c r="J33" s="7">
        <f>IFERROR(__xludf.DUMMYFUNCTION("""COMPUTED_VALUE"""),42209.99861111111)</f>
        <v>42209.99861</v>
      </c>
      <c r="K33" s="5">
        <f>IFERROR(__xludf.DUMMYFUNCTION("""COMPUTED_VALUE"""),1.4111)</f>
        <v>1.4111</v>
      </c>
    </row>
    <row r="34">
      <c r="A34" s="7">
        <f>IFERROR(__xludf.DUMMYFUNCTION("""COMPUTED_VALUE"""),42216.99861111111)</f>
        <v>42216.99861</v>
      </c>
      <c r="B34" s="5">
        <f>IFERROR(__xludf.DUMMYFUNCTION("""COMPUTED_VALUE"""),0.00735)</f>
        <v>0.00735</v>
      </c>
      <c r="D34" s="7">
        <f>IFERROR(__xludf.DUMMYFUNCTION("""COMPUTED_VALUE"""),42216.99861111111)</f>
        <v>42216.99861</v>
      </c>
      <c r="E34" s="5">
        <f>IFERROR(__xludf.DUMMYFUNCTION("""COMPUTED_VALUE"""),0.10548)</f>
        <v>0.10548</v>
      </c>
      <c r="G34" s="7">
        <f>IFERROR(__xludf.DUMMYFUNCTION("""COMPUTED_VALUE"""),42216.99861111111)</f>
        <v>42216.99861</v>
      </c>
      <c r="H34" s="5">
        <f>IFERROR(__xludf.DUMMYFUNCTION("""COMPUTED_VALUE"""),0.13399)</f>
        <v>0.13399</v>
      </c>
      <c r="J34" s="7">
        <f>IFERROR(__xludf.DUMMYFUNCTION("""COMPUTED_VALUE"""),42216.99861111111)</f>
        <v>42216.99861</v>
      </c>
      <c r="K34" s="5">
        <f>IFERROR(__xludf.DUMMYFUNCTION("""COMPUTED_VALUE"""),1.4214)</f>
        <v>1.4214</v>
      </c>
    </row>
    <row r="35">
      <c r="A35" s="7">
        <f>IFERROR(__xludf.DUMMYFUNCTION("""COMPUTED_VALUE"""),42223.99861111111)</f>
        <v>42223.99861</v>
      </c>
      <c r="B35" s="5">
        <f>IFERROR(__xludf.DUMMYFUNCTION("""COMPUTED_VALUE"""),0.00734)</f>
        <v>0.00734</v>
      </c>
      <c r="D35" s="7">
        <f>IFERROR(__xludf.DUMMYFUNCTION("""COMPUTED_VALUE"""),42223.99861111111)</f>
        <v>42223.99861</v>
      </c>
      <c r="E35" s="5">
        <f>IFERROR(__xludf.DUMMYFUNCTION("""COMPUTED_VALUE"""),0.10393)</f>
        <v>0.10393</v>
      </c>
      <c r="G35" s="7">
        <f>IFERROR(__xludf.DUMMYFUNCTION("""COMPUTED_VALUE"""),42223.99861111111)</f>
        <v>42223.99861</v>
      </c>
      <c r="H35" s="5">
        <f>IFERROR(__xludf.DUMMYFUNCTION("""COMPUTED_VALUE"""),0.134)</f>
        <v>0.134</v>
      </c>
      <c r="J35" s="7">
        <f>IFERROR(__xludf.DUMMYFUNCTION("""COMPUTED_VALUE"""),42223.99861111111)</f>
        <v>42223.99861</v>
      </c>
      <c r="K35" s="5">
        <f>IFERROR(__xludf.DUMMYFUNCTION("""COMPUTED_VALUE"""),1.4116)</f>
        <v>1.4116</v>
      </c>
    </row>
    <row r="36">
      <c r="A36" s="7">
        <f>IFERROR(__xludf.DUMMYFUNCTION("""COMPUTED_VALUE"""),42230.99861111111)</f>
        <v>42230.99861</v>
      </c>
      <c r="B36" s="5">
        <f>IFERROR(__xludf.DUMMYFUNCTION("""COMPUTED_VALUE"""),0.00724)</f>
        <v>0.00724</v>
      </c>
      <c r="D36" s="7">
        <f>IFERROR(__xludf.DUMMYFUNCTION("""COMPUTED_VALUE"""),42230.99861111111)</f>
        <v>42230.99861</v>
      </c>
      <c r="E36" s="5">
        <f>IFERROR(__xludf.DUMMYFUNCTION("""COMPUTED_VALUE"""),0.10573)</f>
        <v>0.10573</v>
      </c>
      <c r="G36" s="7">
        <f>IFERROR(__xludf.DUMMYFUNCTION("""COMPUTED_VALUE"""),42230.99861111111)</f>
        <v>42230.99861</v>
      </c>
      <c r="H36" s="5">
        <f>IFERROR(__xludf.DUMMYFUNCTION("""COMPUTED_VALUE"""),0.13397)</f>
        <v>0.13397</v>
      </c>
      <c r="J36" s="7">
        <f>IFERROR(__xludf.DUMMYFUNCTION("""COMPUTED_VALUE"""),42230.99861111111)</f>
        <v>42230.99861</v>
      </c>
      <c r="K36" s="5">
        <f>IFERROR(__xludf.DUMMYFUNCTION("""COMPUTED_VALUE"""),1.4067)</f>
        <v>1.4067</v>
      </c>
    </row>
    <row r="37">
      <c r="A37" s="7">
        <f>IFERROR(__xludf.DUMMYFUNCTION("""COMPUTED_VALUE"""),42237.99861111111)</f>
        <v>42237.99861</v>
      </c>
      <c r="B37" s="5">
        <f>IFERROR(__xludf.DUMMYFUNCTION("""COMPUTED_VALUE"""),0.00719)</f>
        <v>0.00719</v>
      </c>
      <c r="D37" s="7">
        <f>IFERROR(__xludf.DUMMYFUNCTION("""COMPUTED_VALUE"""),42237.99861111111)</f>
        <v>42237.99861</v>
      </c>
      <c r="E37" s="5">
        <f>IFERROR(__xludf.DUMMYFUNCTION("""COMPUTED_VALUE"""),0.10506)</f>
        <v>0.10506</v>
      </c>
      <c r="G37" s="7">
        <f>IFERROR(__xludf.DUMMYFUNCTION("""COMPUTED_VALUE"""),42237.99861111111)</f>
        <v>42237.99861</v>
      </c>
      <c r="H37" s="5">
        <f>IFERROR(__xludf.DUMMYFUNCTION("""COMPUTED_VALUE"""),0.13397)</f>
        <v>0.13397</v>
      </c>
      <c r="J37" s="7">
        <f>IFERROR(__xludf.DUMMYFUNCTION("""COMPUTED_VALUE"""),42237.99861111111)</f>
        <v>42237.99861</v>
      </c>
      <c r="K37" s="5">
        <f>IFERROR(__xludf.DUMMYFUNCTION("""COMPUTED_VALUE"""),1.3772)</f>
        <v>1.3772</v>
      </c>
    </row>
    <row r="38">
      <c r="A38" s="7">
        <f>IFERROR(__xludf.DUMMYFUNCTION("""COMPUTED_VALUE"""),42244.99861111111)</f>
        <v>42244.99861</v>
      </c>
      <c r="B38" s="5">
        <f>IFERROR(__xludf.DUMMYFUNCTION("""COMPUTED_VALUE"""),0.00735)</f>
        <v>0.00735</v>
      </c>
      <c r="D38" s="7">
        <f>IFERROR(__xludf.DUMMYFUNCTION("""COMPUTED_VALUE"""),42244.99861111111)</f>
        <v>42244.99861</v>
      </c>
      <c r="E38" s="5">
        <f>IFERROR(__xludf.DUMMYFUNCTION("""COMPUTED_VALUE"""),0.10568)</f>
        <v>0.10568</v>
      </c>
      <c r="G38" s="7">
        <f>IFERROR(__xludf.DUMMYFUNCTION("""COMPUTED_VALUE"""),42244.99861111111)</f>
        <v>42244.99861</v>
      </c>
      <c r="H38" s="5">
        <f>IFERROR(__xludf.DUMMYFUNCTION("""COMPUTED_VALUE"""),0.13397)</f>
        <v>0.13397</v>
      </c>
      <c r="J38" s="7">
        <f>IFERROR(__xludf.DUMMYFUNCTION("""COMPUTED_VALUE"""),42244.99861111111)</f>
        <v>42244.99861</v>
      </c>
      <c r="K38" s="5">
        <f>IFERROR(__xludf.DUMMYFUNCTION("""COMPUTED_VALUE"""),1.3747)</f>
        <v>1.3747</v>
      </c>
    </row>
    <row r="39">
      <c r="A39" s="7">
        <f>IFERROR(__xludf.DUMMYFUNCTION("""COMPUTED_VALUE"""),42251.99861111111)</f>
        <v>42251.99861</v>
      </c>
      <c r="B39" s="5">
        <f>IFERROR(__xludf.DUMMYFUNCTION("""COMPUTED_VALUE"""),0.00753)</f>
        <v>0.00753</v>
      </c>
      <c r="D39" s="7">
        <f>IFERROR(__xludf.DUMMYFUNCTION("""COMPUTED_VALUE"""),42251.99861111111)</f>
        <v>42251.99861</v>
      </c>
      <c r="E39" s="5">
        <f>IFERROR(__xludf.DUMMYFUNCTION("""COMPUTED_VALUE"""),0.10615)</f>
        <v>0.10615</v>
      </c>
      <c r="G39" s="7">
        <f>IFERROR(__xludf.DUMMYFUNCTION("""COMPUTED_VALUE"""),42251.99861111111)</f>
        <v>42251.99861</v>
      </c>
      <c r="H39" s="5">
        <f>IFERROR(__xludf.DUMMYFUNCTION("""COMPUTED_VALUE"""),0.13398)</f>
        <v>0.13398</v>
      </c>
      <c r="J39" s="7">
        <f>IFERROR(__xludf.DUMMYFUNCTION("""COMPUTED_VALUE"""),42251.99861111111)</f>
        <v>42251.99861</v>
      </c>
      <c r="K39" s="5">
        <f>IFERROR(__xludf.DUMMYFUNCTION("""COMPUTED_VALUE"""),1.36)</f>
        <v>1.36</v>
      </c>
    </row>
    <row r="40">
      <c r="A40" s="7">
        <f>IFERROR(__xludf.DUMMYFUNCTION("""COMPUTED_VALUE"""),42258.99861111111)</f>
        <v>42258.99861</v>
      </c>
      <c r="B40" s="5">
        <f>IFERROR(__xludf.DUMMYFUNCTION("""COMPUTED_VALUE"""),0.00731)</f>
        <v>0.00731</v>
      </c>
      <c r="D40" s="7">
        <f>IFERROR(__xludf.DUMMYFUNCTION("""COMPUTED_VALUE"""),42258.99861111111)</f>
        <v>42258.99861</v>
      </c>
      <c r="E40" s="5">
        <f>IFERROR(__xludf.DUMMYFUNCTION("""COMPUTED_VALUE"""),0.10699)</f>
        <v>0.10699</v>
      </c>
      <c r="G40" s="7">
        <f>IFERROR(__xludf.DUMMYFUNCTION("""COMPUTED_VALUE"""),42258.99861111111)</f>
        <v>42258.99861</v>
      </c>
      <c r="H40" s="5">
        <f>IFERROR(__xludf.DUMMYFUNCTION("""COMPUTED_VALUE"""),0.13404)</f>
        <v>0.13404</v>
      </c>
      <c r="J40" s="7">
        <f>IFERROR(__xludf.DUMMYFUNCTION("""COMPUTED_VALUE"""),42258.99861111111)</f>
        <v>42258.99861</v>
      </c>
      <c r="K40" s="5">
        <f>IFERROR(__xludf.DUMMYFUNCTION("""COMPUTED_VALUE"""),1.3606)</f>
        <v>1.3606</v>
      </c>
    </row>
    <row r="41">
      <c r="A41" s="7">
        <f>IFERROR(__xludf.DUMMYFUNCTION("""COMPUTED_VALUE"""),42265.99861111111)</f>
        <v>42265.99861</v>
      </c>
      <c r="B41" s="5">
        <f>IFERROR(__xludf.DUMMYFUNCTION("""COMPUTED_VALUE"""),0.00737)</f>
        <v>0.00737</v>
      </c>
      <c r="D41" s="7">
        <f>IFERROR(__xludf.DUMMYFUNCTION("""COMPUTED_VALUE"""),42265.99861111111)</f>
        <v>42265.99861</v>
      </c>
      <c r="E41" s="5">
        <f>IFERROR(__xludf.DUMMYFUNCTION("""COMPUTED_VALUE"""),0.10721)</f>
        <v>0.10721</v>
      </c>
      <c r="G41" s="7">
        <f>IFERROR(__xludf.DUMMYFUNCTION("""COMPUTED_VALUE"""),42265.99861111111)</f>
        <v>42265.99861</v>
      </c>
      <c r="H41" s="5">
        <f>IFERROR(__xludf.DUMMYFUNCTION("""COMPUTED_VALUE"""),0.134)</f>
        <v>0.134</v>
      </c>
      <c r="J41" s="7">
        <f>IFERROR(__xludf.DUMMYFUNCTION("""COMPUTED_VALUE"""),42265.99861111111)</f>
        <v>42265.99861</v>
      </c>
      <c r="K41" s="5">
        <f>IFERROR(__xludf.DUMMYFUNCTION("""COMPUTED_VALUE"""),1.3733)</f>
        <v>1.3733</v>
      </c>
    </row>
    <row r="42">
      <c r="A42" s="7">
        <f>IFERROR(__xludf.DUMMYFUNCTION("""COMPUTED_VALUE"""),42272.99861111111)</f>
        <v>42272.99861</v>
      </c>
      <c r="B42" s="5">
        <f>IFERROR(__xludf.DUMMYFUNCTION("""COMPUTED_VALUE"""),0.00741)</f>
        <v>0.00741</v>
      </c>
      <c r="D42" s="7">
        <f>IFERROR(__xludf.DUMMYFUNCTION("""COMPUTED_VALUE"""),42272.99861111111)</f>
        <v>42272.99861</v>
      </c>
      <c r="E42" s="5">
        <f>IFERROR(__xludf.DUMMYFUNCTION("""COMPUTED_VALUE"""),0.1061)</f>
        <v>0.1061</v>
      </c>
      <c r="G42" s="7">
        <f>IFERROR(__xludf.DUMMYFUNCTION("""COMPUTED_VALUE"""),42272.99861111111)</f>
        <v>42272.99861</v>
      </c>
      <c r="H42" s="5">
        <f>IFERROR(__xludf.DUMMYFUNCTION("""COMPUTED_VALUE"""),0.13402)</f>
        <v>0.13402</v>
      </c>
      <c r="J42" s="7">
        <f>IFERROR(__xludf.DUMMYFUNCTION("""COMPUTED_VALUE"""),42272.99861111111)</f>
        <v>42272.99861</v>
      </c>
      <c r="K42" s="5">
        <f>IFERROR(__xludf.DUMMYFUNCTION("""COMPUTED_VALUE"""),1.3555)</f>
        <v>1.3555</v>
      </c>
    </row>
    <row r="43">
      <c r="A43" s="7">
        <f>IFERROR(__xludf.DUMMYFUNCTION("""COMPUTED_VALUE"""),42279.99861111111)</f>
        <v>42279.99861</v>
      </c>
      <c r="B43" s="5">
        <f>IFERROR(__xludf.DUMMYFUNCTION("""COMPUTED_VALUE"""),0.00744)</f>
        <v>0.00744</v>
      </c>
      <c r="D43" s="7">
        <f>IFERROR(__xludf.DUMMYFUNCTION("""COMPUTED_VALUE"""),42279.99861111111)</f>
        <v>42279.99861</v>
      </c>
      <c r="E43" s="5">
        <f>IFERROR(__xludf.DUMMYFUNCTION("""COMPUTED_VALUE"""),0.1066)</f>
        <v>0.1066</v>
      </c>
      <c r="G43" s="7">
        <f>IFERROR(__xludf.DUMMYFUNCTION("""COMPUTED_VALUE"""),42279.99861111111)</f>
        <v>42279.99861</v>
      </c>
      <c r="H43" s="5">
        <f>IFERROR(__xludf.DUMMYFUNCTION("""COMPUTED_VALUE"""),0.13402)</f>
        <v>0.13402</v>
      </c>
      <c r="J43" s="7">
        <f>IFERROR(__xludf.DUMMYFUNCTION("""COMPUTED_VALUE"""),42279.99861111111)</f>
        <v>42279.99861</v>
      </c>
      <c r="K43" s="5">
        <f>IFERROR(__xludf.DUMMYFUNCTION("""COMPUTED_VALUE"""),1.3534)</f>
        <v>1.3534</v>
      </c>
    </row>
    <row r="44">
      <c r="A44" s="7">
        <f>IFERROR(__xludf.DUMMYFUNCTION("""COMPUTED_VALUE"""),42286.99861111111)</f>
        <v>42286.99861</v>
      </c>
      <c r="B44" s="5">
        <f>IFERROR(__xludf.DUMMYFUNCTION("""COMPUTED_VALUE"""),0.00732)</f>
        <v>0.00732</v>
      </c>
      <c r="D44" s="7">
        <f>IFERROR(__xludf.DUMMYFUNCTION("""COMPUTED_VALUE"""),42286.99861111111)</f>
        <v>42286.99861</v>
      </c>
      <c r="E44" s="5">
        <f>IFERROR(__xludf.DUMMYFUNCTION("""COMPUTED_VALUE"""),0.10728)</f>
        <v>0.10728</v>
      </c>
      <c r="G44" s="7">
        <f>IFERROR(__xludf.DUMMYFUNCTION("""COMPUTED_VALUE"""),42286.99861111111)</f>
        <v>42286.99861</v>
      </c>
      <c r="H44" s="5">
        <f>IFERROR(__xludf.DUMMYFUNCTION("""COMPUTED_VALUE"""),0.13401)</f>
        <v>0.13401</v>
      </c>
      <c r="J44" s="7">
        <f>IFERROR(__xludf.DUMMYFUNCTION("""COMPUTED_VALUE"""),42286.99861111111)</f>
        <v>42286.99861</v>
      </c>
      <c r="K44" s="5">
        <f>IFERROR(__xludf.DUMMYFUNCTION("""COMPUTED_VALUE"""),1.3475)</f>
        <v>1.3475</v>
      </c>
    </row>
    <row r="45">
      <c r="A45" s="7">
        <f>IFERROR(__xludf.DUMMYFUNCTION("""COMPUTED_VALUE"""),42293.99861111111)</f>
        <v>42293.99861</v>
      </c>
      <c r="B45" s="5">
        <f>IFERROR(__xludf.DUMMYFUNCTION("""COMPUTED_VALUE"""),0.00737)</f>
        <v>0.00737</v>
      </c>
      <c r="D45" s="7">
        <f>IFERROR(__xludf.DUMMYFUNCTION("""COMPUTED_VALUE"""),42293.99861111111)</f>
        <v>42293.99861</v>
      </c>
      <c r="E45" s="5">
        <f>IFERROR(__xludf.DUMMYFUNCTION("""COMPUTED_VALUE"""),0.10648)</f>
        <v>0.10648</v>
      </c>
      <c r="G45" s="7">
        <f>IFERROR(__xludf.DUMMYFUNCTION("""COMPUTED_VALUE"""),42293.99861111111)</f>
        <v>42293.99861</v>
      </c>
      <c r="H45" s="5">
        <f>IFERROR(__xludf.DUMMYFUNCTION("""COMPUTED_VALUE"""),0.13403)</f>
        <v>0.13403</v>
      </c>
      <c r="J45" s="7">
        <f>IFERROR(__xludf.DUMMYFUNCTION("""COMPUTED_VALUE"""),42293.99861111111)</f>
        <v>42293.99861</v>
      </c>
      <c r="K45" s="5">
        <f>IFERROR(__xludf.DUMMYFUNCTION("""COMPUTED_VALUE"""),1.3597)</f>
        <v>1.3597</v>
      </c>
    </row>
    <row r="46">
      <c r="A46" s="7">
        <f>IFERROR(__xludf.DUMMYFUNCTION("""COMPUTED_VALUE"""),42300.99861111111)</f>
        <v>42300.99861</v>
      </c>
      <c r="B46" s="5">
        <f>IFERROR(__xludf.DUMMYFUNCTION("""COMPUTED_VALUE"""),0.00747)</f>
        <v>0.00747</v>
      </c>
      <c r="D46" s="7">
        <f>IFERROR(__xludf.DUMMYFUNCTION("""COMPUTED_VALUE"""),42300.99861111111)</f>
        <v>42300.99861</v>
      </c>
      <c r="E46" s="5">
        <f>IFERROR(__xludf.DUMMYFUNCTION("""COMPUTED_VALUE"""),0.10665)</f>
        <v>0.10665</v>
      </c>
      <c r="G46" s="7">
        <f>IFERROR(__xludf.DUMMYFUNCTION("""COMPUTED_VALUE"""),42300.99861111111)</f>
        <v>42300.99861</v>
      </c>
      <c r="H46" s="5">
        <f>IFERROR(__xludf.DUMMYFUNCTION("""COMPUTED_VALUE"""),0.13405)</f>
        <v>0.13405</v>
      </c>
      <c r="J46" s="7">
        <f>IFERROR(__xludf.DUMMYFUNCTION("""COMPUTED_VALUE"""),42300.99861111111)</f>
        <v>42300.99861</v>
      </c>
      <c r="K46" s="5">
        <f>IFERROR(__xludf.DUMMYFUNCTION("""COMPUTED_VALUE"""),1.389)</f>
        <v>1.389</v>
      </c>
    </row>
    <row r="47">
      <c r="A47" s="7">
        <f>IFERROR(__xludf.DUMMYFUNCTION("""COMPUTED_VALUE"""),42308.99861111111)</f>
        <v>42308.99861</v>
      </c>
      <c r="B47" s="5">
        <f>IFERROR(__xludf.DUMMYFUNCTION("""COMPUTED_VALUE"""),0.00753)</f>
        <v>0.00753</v>
      </c>
      <c r="D47" s="7">
        <f>IFERROR(__xludf.DUMMYFUNCTION("""COMPUTED_VALUE"""),42307.99861111111)</f>
        <v>42307.99861</v>
      </c>
      <c r="E47" s="5">
        <f>IFERROR(__xludf.DUMMYFUNCTION("""COMPUTED_VALUE"""),0.10633)</f>
        <v>0.10633</v>
      </c>
      <c r="G47" s="7">
        <f>IFERROR(__xludf.DUMMYFUNCTION("""COMPUTED_VALUE"""),42307.99861111111)</f>
        <v>42307.99861</v>
      </c>
      <c r="H47" s="5">
        <f>IFERROR(__xludf.DUMMYFUNCTION("""COMPUTED_VALUE"""),0.13406)</f>
        <v>0.13406</v>
      </c>
      <c r="J47" s="7">
        <f>IFERROR(__xludf.DUMMYFUNCTION("""COMPUTED_VALUE"""),42308.99861111111)</f>
        <v>42308.99861</v>
      </c>
      <c r="K47" s="5">
        <f>IFERROR(__xludf.DUMMYFUNCTION("""COMPUTED_VALUE"""),1.4009)</f>
        <v>1.4009</v>
      </c>
    </row>
    <row r="48">
      <c r="A48" s="7">
        <f>IFERROR(__xludf.DUMMYFUNCTION("""COMPUTED_VALUE"""),42315.99861111111)</f>
        <v>42315.99861</v>
      </c>
      <c r="B48" s="5">
        <f>IFERROR(__xludf.DUMMYFUNCTION("""COMPUTED_VALUE"""),0.00756)</f>
        <v>0.00756</v>
      </c>
      <c r="D48" s="7">
        <f>IFERROR(__xludf.DUMMYFUNCTION("""COMPUTED_VALUE"""),42314.99861111111)</f>
        <v>42314.99861</v>
      </c>
      <c r="E48" s="5">
        <f>IFERROR(__xludf.DUMMYFUNCTION("""COMPUTED_VALUE"""),0.10665)</f>
        <v>0.10665</v>
      </c>
      <c r="G48" s="7">
        <f>IFERROR(__xludf.DUMMYFUNCTION("""COMPUTED_VALUE"""),42314.99861111111)</f>
        <v>42314.99861</v>
      </c>
      <c r="H48" s="5">
        <f>IFERROR(__xludf.DUMMYFUNCTION("""COMPUTED_VALUE"""),0.13404)</f>
        <v>0.13404</v>
      </c>
      <c r="J48" s="7">
        <f>IFERROR(__xludf.DUMMYFUNCTION("""COMPUTED_VALUE"""),42315.99861111111)</f>
        <v>42315.99861</v>
      </c>
      <c r="K48" s="5">
        <f>IFERROR(__xludf.DUMMYFUNCTION("""COMPUTED_VALUE"""),1.4001)</f>
        <v>1.4001</v>
      </c>
    </row>
    <row r="49">
      <c r="A49" s="7">
        <f>IFERROR(__xludf.DUMMYFUNCTION("""COMPUTED_VALUE"""),42322.99861111111)</f>
        <v>42322.99861</v>
      </c>
      <c r="B49" s="5">
        <f>IFERROR(__xludf.DUMMYFUNCTION("""COMPUTED_VALUE"""),0.00757)</f>
        <v>0.00757</v>
      </c>
      <c r="D49" s="7">
        <f>IFERROR(__xludf.DUMMYFUNCTION("""COMPUTED_VALUE"""),42321.99861111111)</f>
        <v>42321.99861</v>
      </c>
      <c r="E49" s="5">
        <f>IFERROR(__xludf.DUMMYFUNCTION("""COMPUTED_VALUE"""),0.10694)</f>
        <v>0.10694</v>
      </c>
      <c r="G49" s="7">
        <f>IFERROR(__xludf.DUMMYFUNCTION("""COMPUTED_VALUE"""),42321.99861111111)</f>
        <v>42321.99861</v>
      </c>
      <c r="H49" s="5">
        <f>IFERROR(__xludf.DUMMYFUNCTION("""COMPUTED_VALUE"""),0.13402)</f>
        <v>0.13402</v>
      </c>
      <c r="J49" s="7">
        <f>IFERROR(__xludf.DUMMYFUNCTION("""COMPUTED_VALUE"""),42322.99861111111)</f>
        <v>42322.99861</v>
      </c>
      <c r="K49" s="5">
        <f>IFERROR(__xludf.DUMMYFUNCTION("""COMPUTED_VALUE"""),1.4137)</f>
        <v>1.4137</v>
      </c>
    </row>
    <row r="50">
      <c r="A50" s="7">
        <f>IFERROR(__xludf.DUMMYFUNCTION("""COMPUTED_VALUE"""),42328.99861111111)</f>
        <v>42328.99861</v>
      </c>
      <c r="B50" s="5">
        <f>IFERROR(__xludf.DUMMYFUNCTION("""COMPUTED_VALUE"""),0.00765)</f>
        <v>0.00765</v>
      </c>
      <c r="D50" s="7">
        <f>IFERROR(__xludf.DUMMYFUNCTION("""COMPUTED_VALUE"""),42328.99861111111)</f>
        <v>42328.99861</v>
      </c>
      <c r="E50" s="5">
        <f>IFERROR(__xludf.DUMMYFUNCTION("""COMPUTED_VALUE"""),0.10766)</f>
        <v>0.10766</v>
      </c>
      <c r="G50" s="7">
        <f>IFERROR(__xludf.DUMMYFUNCTION("""COMPUTED_VALUE"""),42328.99861111111)</f>
        <v>42328.99861</v>
      </c>
      <c r="H50" s="5">
        <f>IFERROR(__xludf.DUMMYFUNCTION("""COMPUTED_VALUE"""),0.13402)</f>
        <v>0.13402</v>
      </c>
      <c r="J50" s="7">
        <f>IFERROR(__xludf.DUMMYFUNCTION("""COMPUTED_VALUE"""),42328.99861111111)</f>
        <v>42328.99861</v>
      </c>
      <c r="K50" s="5">
        <f>IFERROR(__xludf.DUMMYFUNCTION("""COMPUTED_VALUE"""),1.426)</f>
        <v>1.426</v>
      </c>
    </row>
    <row r="51">
      <c r="A51" s="7">
        <f>IFERROR(__xludf.DUMMYFUNCTION("""COMPUTED_VALUE"""),42336.99861111111)</f>
        <v>42336.99861</v>
      </c>
      <c r="B51" s="5">
        <f>IFERROR(__xludf.DUMMYFUNCTION("""COMPUTED_VALUE"""),0.00768)</f>
        <v>0.00768</v>
      </c>
      <c r="D51" s="7">
        <f>IFERROR(__xludf.DUMMYFUNCTION("""COMPUTED_VALUE"""),42335.99861111111)</f>
        <v>42335.99861</v>
      </c>
      <c r="E51" s="5">
        <f>IFERROR(__xludf.DUMMYFUNCTION("""COMPUTED_VALUE"""),0.10796)</f>
        <v>0.10796</v>
      </c>
      <c r="G51" s="7">
        <f>IFERROR(__xludf.DUMMYFUNCTION("""COMPUTED_VALUE"""),42335.99861111111)</f>
        <v>42335.99861</v>
      </c>
      <c r="H51" s="5">
        <f>IFERROR(__xludf.DUMMYFUNCTION("""COMPUTED_VALUE"""),0.13402)</f>
        <v>0.13402</v>
      </c>
      <c r="J51" s="7">
        <f>IFERROR(__xludf.DUMMYFUNCTION("""COMPUTED_VALUE"""),42336.99861111111)</f>
        <v>42336.99861</v>
      </c>
      <c r="K51" s="5">
        <f>IFERROR(__xludf.DUMMYFUNCTION("""COMPUTED_VALUE"""),1.4185)</f>
        <v>1.4185</v>
      </c>
    </row>
    <row r="52">
      <c r="A52" s="7">
        <f>IFERROR(__xludf.DUMMYFUNCTION("""COMPUTED_VALUE"""),42343.99861111111)</f>
        <v>42343.99861</v>
      </c>
      <c r="B52" s="5">
        <f>IFERROR(__xludf.DUMMYFUNCTION("""COMPUTED_VALUE"""),0.00747)</f>
        <v>0.00747</v>
      </c>
      <c r="D52" s="7">
        <f>IFERROR(__xludf.DUMMYFUNCTION("""COMPUTED_VALUE"""),42342.99861111111)</f>
        <v>42342.99861</v>
      </c>
      <c r="E52" s="5">
        <f>IFERROR(__xludf.DUMMYFUNCTION("""COMPUTED_VALUE"""),0.10827)</f>
        <v>0.10827</v>
      </c>
      <c r="G52" s="7">
        <f>IFERROR(__xludf.DUMMYFUNCTION("""COMPUTED_VALUE"""),42342.99861111111)</f>
        <v>42342.99861</v>
      </c>
      <c r="H52" s="5">
        <f>IFERROR(__xludf.DUMMYFUNCTION("""COMPUTED_VALUE"""),0.13403)</f>
        <v>0.13403</v>
      </c>
      <c r="J52" s="7">
        <f>IFERROR(__xludf.DUMMYFUNCTION("""COMPUTED_VALUE"""),42343.99861111111)</f>
        <v>42343.99861</v>
      </c>
      <c r="K52" s="5">
        <f>IFERROR(__xludf.DUMMYFUNCTION("""COMPUTED_VALUE"""),1.3873)</f>
        <v>1.3873</v>
      </c>
    </row>
    <row r="53">
      <c r="A53" s="7">
        <f>IFERROR(__xludf.DUMMYFUNCTION("""COMPUTED_VALUE"""),42350.99861111111)</f>
        <v>42350.99861</v>
      </c>
      <c r="B53" s="5">
        <f>IFERROR(__xludf.DUMMYFUNCTION("""COMPUTED_VALUE"""),0.00752)</f>
        <v>0.00752</v>
      </c>
      <c r="D53" s="7">
        <f>IFERROR(__xludf.DUMMYFUNCTION("""COMPUTED_VALUE"""),42349.99861111111)</f>
        <v>42349.99861</v>
      </c>
      <c r="E53" s="5">
        <f>IFERROR(__xludf.DUMMYFUNCTION("""COMPUTED_VALUE"""),0.107)</f>
        <v>0.107</v>
      </c>
      <c r="G53" s="7">
        <f>IFERROR(__xludf.DUMMYFUNCTION("""COMPUTED_VALUE"""),42349.99861111111)</f>
        <v>42349.99861</v>
      </c>
      <c r="H53" s="5">
        <f>IFERROR(__xludf.DUMMYFUNCTION("""COMPUTED_VALUE"""),0.134)</f>
        <v>0.134</v>
      </c>
      <c r="J53" s="7">
        <f>IFERROR(__xludf.DUMMYFUNCTION("""COMPUTED_VALUE"""),42350.99861111111)</f>
        <v>42350.99861</v>
      </c>
      <c r="K53" s="5">
        <f>IFERROR(__xludf.DUMMYFUNCTION("""COMPUTED_VALUE"""),1.3836)</f>
        <v>1.3836</v>
      </c>
    </row>
    <row r="54">
      <c r="A54" s="7">
        <f>IFERROR(__xludf.DUMMYFUNCTION("""COMPUTED_VALUE"""),42357.99861111111)</f>
        <v>42357.99861</v>
      </c>
      <c r="B54" s="5">
        <f>IFERROR(__xludf.DUMMYFUNCTION("""COMPUTED_VALUE"""),0.00759)</f>
        <v>0.00759</v>
      </c>
      <c r="D54" s="7">
        <f>IFERROR(__xludf.DUMMYFUNCTION("""COMPUTED_VALUE"""),42356.99861111111)</f>
        <v>42356.99861</v>
      </c>
      <c r="E54" s="5">
        <f>IFERROR(__xludf.DUMMYFUNCTION("""COMPUTED_VALUE"""),0.10742)</f>
        <v>0.10742</v>
      </c>
      <c r="G54" s="7">
        <f>IFERROR(__xludf.DUMMYFUNCTION("""COMPUTED_VALUE"""),42356.99861111111)</f>
        <v>42356.99861</v>
      </c>
      <c r="H54" s="5">
        <f>IFERROR(__xludf.DUMMYFUNCTION("""COMPUTED_VALUE"""),0.13399)</f>
        <v>0.13399</v>
      </c>
      <c r="J54" s="7">
        <f>IFERROR(__xludf.DUMMYFUNCTION("""COMPUTED_VALUE"""),42357.99861111111)</f>
        <v>42357.99861</v>
      </c>
      <c r="K54" s="5">
        <f>IFERROR(__xludf.DUMMYFUNCTION("""COMPUTED_VALUE"""),1.3701)</f>
        <v>1.3701</v>
      </c>
    </row>
    <row r="55">
      <c r="A55" s="7">
        <f>IFERROR(__xludf.DUMMYFUNCTION("""COMPUTED_VALUE"""),42364.99861111111)</f>
        <v>42364.99861</v>
      </c>
      <c r="B55" s="5">
        <f>IFERROR(__xludf.DUMMYFUNCTION("""COMPUTED_VALUE"""),0.00756)</f>
        <v>0.00756</v>
      </c>
      <c r="D55" s="7">
        <f>IFERROR(__xludf.DUMMYFUNCTION("""COMPUTED_VALUE"""),42363.99861111111)</f>
        <v>42363.99861</v>
      </c>
      <c r="E55" s="5">
        <f>IFERROR(__xludf.DUMMYFUNCTION("""COMPUTED_VALUE"""),0.10857)</f>
        <v>0.10857</v>
      </c>
      <c r="G55" s="7">
        <f>IFERROR(__xludf.DUMMYFUNCTION("""COMPUTED_VALUE"""),42363.99861111111)</f>
        <v>42363.99861</v>
      </c>
      <c r="H55" s="5">
        <f>IFERROR(__xludf.DUMMYFUNCTION("""COMPUTED_VALUE"""),0.13364)</f>
        <v>0.13364</v>
      </c>
      <c r="J55" s="7">
        <f>IFERROR(__xludf.DUMMYFUNCTION("""COMPUTED_VALUE"""),42364.99861111111)</f>
        <v>42364.99861</v>
      </c>
      <c r="K55" s="5">
        <f>IFERROR(__xludf.DUMMYFUNCTION("""COMPUTED_VALUE"""),1.3594)</f>
        <v>1.3594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B2" s="3" t="s">
        <v>1</v>
      </c>
      <c r="E2" s="3" t="s">
        <v>2</v>
      </c>
      <c r="H2" s="3" t="s">
        <v>3</v>
      </c>
      <c r="K2" s="3" t="s">
        <v>4</v>
      </c>
    </row>
    <row r="3">
      <c r="A3" s="4" t="str">
        <f>IFERROR(__xludf.DUMMYFUNCTION("GOOGLEFINANCE(""jpyEUR"", ""price"", DATE(2015,1,1), DATE(2015,12,31), ""weekly"")"),"Date")</f>
        <v>Date</v>
      </c>
      <c r="B3" s="5" t="str">
        <f>IFERROR(__xludf.DUMMYFUNCTION("""COMPUTED_VALUE"""),"Close")</f>
        <v>Close</v>
      </c>
      <c r="D3" s="4" t="str">
        <f>IFERROR(__xludf.DUMMYFUNCTION("GOOGLEFINANCE(""sekEUR"", ""price"", DATE(2015,1,1), DATE(2015,12,31), ""weekly"")"),"Date")</f>
        <v>Date</v>
      </c>
      <c r="E3" s="5" t="str">
        <f>IFERROR(__xludf.DUMMYFUNCTION("""COMPUTED_VALUE"""),"Close")</f>
        <v>Close</v>
      </c>
      <c r="G3" s="4" t="str">
        <f>IFERROR(__xludf.DUMMYFUNCTION("GOOGLEFINANCE(""dkkEUR"", ""price"", DATE(2015,1,1), DATE(2015,12,31), ""weekly"")"),"Date")</f>
        <v>Date</v>
      </c>
      <c r="H3" s="5" t="str">
        <f>IFERROR(__xludf.DUMMYFUNCTION("""COMPUTED_VALUE"""),"Close")</f>
        <v>Close</v>
      </c>
      <c r="J3" s="4" t="str">
        <f>IFERROR(__xludf.DUMMYFUNCTION("GOOGLEFINANCE(""gbpEUR"", ""price"", DATE(2015,1,1), DATE(2015,12,31), ""weekly"")"),"Date")</f>
        <v>Date</v>
      </c>
      <c r="K3" s="5" t="str">
        <f>IFERROR(__xludf.DUMMYFUNCTION("""COMPUTED_VALUE"""),"Close")</f>
        <v>Close</v>
      </c>
    </row>
    <row r="4">
      <c r="A4" s="6">
        <f>IFERROR(__xludf.DUMMYFUNCTION("""COMPUTED_VALUE"""),42007.99861111111)</f>
        <v>42007.99861</v>
      </c>
      <c r="B4" s="5">
        <f>IFERROR(__xludf.DUMMYFUNCTION("""COMPUTED_VALUE"""),0.00691)</f>
        <v>0.00691</v>
      </c>
      <c r="D4" s="7">
        <f>IFERROR(__xludf.DUMMYFUNCTION("""COMPUTED_VALUE"""),42006.99861111111)</f>
        <v>42006.99861</v>
      </c>
      <c r="E4" s="5">
        <f>IFERROR(__xludf.DUMMYFUNCTION("""COMPUTED_VALUE"""),0.10492)</f>
        <v>0.10492</v>
      </c>
      <c r="G4" s="7">
        <f>IFERROR(__xludf.DUMMYFUNCTION("""COMPUTED_VALUE"""),42006.99861111111)</f>
        <v>42006.99861</v>
      </c>
      <c r="H4" s="5">
        <f>IFERROR(__xludf.DUMMYFUNCTION("""COMPUTED_VALUE"""),0.13431)</f>
        <v>0.13431</v>
      </c>
      <c r="J4" s="7">
        <f>IFERROR(__xludf.DUMMYFUNCTION("""COMPUTED_VALUE"""),42007.99861111111)</f>
        <v>42007.99861</v>
      </c>
      <c r="K4" s="5">
        <f>IFERROR(__xludf.DUMMYFUNCTION("""COMPUTED_VALUE"""),1.2766)</f>
        <v>1.2766</v>
      </c>
    </row>
    <row r="5">
      <c r="A5" s="6">
        <f>IFERROR(__xludf.DUMMYFUNCTION("""COMPUTED_VALUE"""),42014.99861111111)</f>
        <v>42014.99861</v>
      </c>
      <c r="B5" s="5">
        <f>IFERROR(__xludf.DUMMYFUNCTION("""COMPUTED_VALUE"""),0.00712)</f>
        <v>0.00712</v>
      </c>
      <c r="D5" s="7">
        <f>IFERROR(__xludf.DUMMYFUNCTION("""COMPUTED_VALUE"""),42013.99861111111)</f>
        <v>42013.99861</v>
      </c>
      <c r="E5" s="5">
        <f>IFERROR(__xludf.DUMMYFUNCTION("""COMPUTED_VALUE"""),0.1047)</f>
        <v>0.1047</v>
      </c>
      <c r="G5" s="7">
        <f>IFERROR(__xludf.DUMMYFUNCTION("""COMPUTED_VALUE"""),42013.99861111111)</f>
        <v>42013.99861</v>
      </c>
      <c r="H5" s="5">
        <f>IFERROR(__xludf.DUMMYFUNCTION("""COMPUTED_VALUE"""),0.13439)</f>
        <v>0.13439</v>
      </c>
      <c r="J5" s="7">
        <f>IFERROR(__xludf.DUMMYFUNCTION("""COMPUTED_VALUE"""),42014.99861111111)</f>
        <v>42014.99861</v>
      </c>
      <c r="K5" s="5">
        <f>IFERROR(__xludf.DUMMYFUNCTION("""COMPUTED_VALUE"""),1.2793)</f>
        <v>1.2793</v>
      </c>
    </row>
    <row r="6">
      <c r="A6" s="6">
        <f>IFERROR(__xludf.DUMMYFUNCTION("""COMPUTED_VALUE"""),42021.99861111111)</f>
        <v>42021.99861</v>
      </c>
      <c r="B6" s="5">
        <f>IFERROR(__xludf.DUMMYFUNCTION("""COMPUTED_VALUE"""),0.00735)</f>
        <v>0.00735</v>
      </c>
      <c r="D6" s="7">
        <f>IFERROR(__xludf.DUMMYFUNCTION("""COMPUTED_VALUE"""),42020.99861111111)</f>
        <v>42020.99861</v>
      </c>
      <c r="E6" s="5">
        <f>IFERROR(__xludf.DUMMYFUNCTION("""COMPUTED_VALUE"""),0.10679)</f>
        <v>0.10679</v>
      </c>
      <c r="G6" s="7">
        <f>IFERROR(__xludf.DUMMYFUNCTION("""COMPUTED_VALUE"""),42020.99861111111)</f>
        <v>42020.99861</v>
      </c>
      <c r="H6" s="5">
        <f>IFERROR(__xludf.DUMMYFUNCTION("""COMPUTED_VALUE"""),0.13446)</f>
        <v>0.13446</v>
      </c>
      <c r="J6" s="7">
        <f>IFERROR(__xludf.DUMMYFUNCTION("""COMPUTED_VALUE"""),42021.99861111111)</f>
        <v>42021.99861</v>
      </c>
      <c r="K6" s="5">
        <f>IFERROR(__xludf.DUMMYFUNCTION("""COMPUTED_VALUE"""),1.3083)</f>
        <v>1.3083</v>
      </c>
    </row>
    <row r="7">
      <c r="A7" s="7">
        <f>IFERROR(__xludf.DUMMYFUNCTION("""COMPUTED_VALUE"""),42028.99861111111)</f>
        <v>42028.99861</v>
      </c>
      <c r="B7" s="5">
        <f>IFERROR(__xludf.DUMMYFUNCTION("""COMPUTED_VALUE"""),0.00758)</f>
        <v>0.00758</v>
      </c>
      <c r="D7" s="7">
        <f>IFERROR(__xludf.DUMMYFUNCTION("""COMPUTED_VALUE"""),42028.99861111111)</f>
        <v>42028.99861</v>
      </c>
      <c r="E7" s="5">
        <f>IFERROR(__xludf.DUMMYFUNCTION("""COMPUTED_VALUE"""),0.1069)</f>
        <v>0.1069</v>
      </c>
      <c r="G7" s="7">
        <f>IFERROR(__xludf.DUMMYFUNCTION("""COMPUTED_VALUE"""),42028.99861111111)</f>
        <v>42028.99861</v>
      </c>
      <c r="H7" s="5">
        <f>IFERROR(__xludf.DUMMYFUNCTION("""COMPUTED_VALUE"""),0.1343)</f>
        <v>0.1343</v>
      </c>
      <c r="J7" s="7">
        <f>IFERROR(__xludf.DUMMYFUNCTION("""COMPUTED_VALUE"""),42028.99861111111)</f>
        <v>42028.99861</v>
      </c>
      <c r="K7" s="5">
        <f>IFERROR(__xludf.DUMMYFUNCTION("""COMPUTED_VALUE"""),1.3368)</f>
        <v>1.3368</v>
      </c>
    </row>
    <row r="8">
      <c r="A8" s="7">
        <f>IFERROR(__xludf.DUMMYFUNCTION("""COMPUTED_VALUE"""),42035.99861111111)</f>
        <v>42035.99861</v>
      </c>
      <c r="B8" s="5">
        <f>IFERROR(__xludf.DUMMYFUNCTION("""COMPUTED_VALUE"""),0.00754)</f>
        <v>0.00754</v>
      </c>
      <c r="D8" s="7">
        <f>IFERROR(__xludf.DUMMYFUNCTION("""COMPUTED_VALUE"""),42035.99861111111)</f>
        <v>42035.99861</v>
      </c>
      <c r="E8" s="5">
        <f>IFERROR(__xludf.DUMMYFUNCTION("""COMPUTED_VALUE"""),0.10691)</f>
        <v>0.10691</v>
      </c>
      <c r="G8" s="7">
        <f>IFERROR(__xludf.DUMMYFUNCTION("""COMPUTED_VALUE"""),42035.99861111111)</f>
        <v>42035.99861</v>
      </c>
      <c r="H8" s="5">
        <f>IFERROR(__xludf.DUMMYFUNCTION("""COMPUTED_VALUE"""),0.13439)</f>
        <v>0.13439</v>
      </c>
      <c r="J8" s="7">
        <f>IFERROR(__xludf.DUMMYFUNCTION("""COMPUTED_VALUE"""),42035.99861111111)</f>
        <v>42035.99861</v>
      </c>
      <c r="K8" s="5">
        <f>IFERROR(__xludf.DUMMYFUNCTION("""COMPUTED_VALUE"""),1.3351)</f>
        <v>1.3351</v>
      </c>
    </row>
    <row r="9">
      <c r="A9" s="7">
        <f>IFERROR(__xludf.DUMMYFUNCTION("""COMPUTED_VALUE"""),42042.99861111111)</f>
        <v>42042.99861</v>
      </c>
      <c r="B9" s="5">
        <f>IFERROR(__xludf.DUMMYFUNCTION("""COMPUTED_VALUE"""),0.00742)</f>
        <v>0.00742</v>
      </c>
      <c r="D9" s="7">
        <f>IFERROR(__xludf.DUMMYFUNCTION("""COMPUTED_VALUE"""),42041.99861111111)</f>
        <v>42041.99861</v>
      </c>
      <c r="E9" s="5">
        <f>IFERROR(__xludf.DUMMYFUNCTION("""COMPUTED_VALUE"""),0.10501)</f>
        <v>0.10501</v>
      </c>
      <c r="G9" s="7">
        <f>IFERROR(__xludf.DUMMYFUNCTION("""COMPUTED_VALUE"""),42041.99861111111)</f>
        <v>42041.99861</v>
      </c>
      <c r="H9" s="5">
        <f>IFERROR(__xludf.DUMMYFUNCTION("""COMPUTED_VALUE"""),0.13436)</f>
        <v>0.13436</v>
      </c>
      <c r="J9" s="7">
        <f>IFERROR(__xludf.DUMMYFUNCTION("""COMPUTED_VALUE"""),42042.99861111111)</f>
        <v>42042.99861</v>
      </c>
      <c r="K9" s="5">
        <f>IFERROR(__xludf.DUMMYFUNCTION("""COMPUTED_VALUE"""),1.3461)</f>
        <v>1.3461</v>
      </c>
    </row>
    <row r="10">
      <c r="A10" s="7">
        <f>IFERROR(__xludf.DUMMYFUNCTION("""COMPUTED_VALUE"""),42049.99861111111)</f>
        <v>42049.99861</v>
      </c>
      <c r="B10" s="5">
        <f>IFERROR(__xludf.DUMMYFUNCTION("""COMPUTED_VALUE"""),0.00739)</f>
        <v>0.00739</v>
      </c>
      <c r="D10" s="7">
        <f>IFERROR(__xludf.DUMMYFUNCTION("""COMPUTED_VALUE"""),42049.99861111111)</f>
        <v>42049.99861</v>
      </c>
      <c r="E10" s="5">
        <f>IFERROR(__xludf.DUMMYFUNCTION("""COMPUTED_VALUE"""),0.10419)</f>
        <v>0.10419</v>
      </c>
      <c r="G10" s="7">
        <f>IFERROR(__xludf.DUMMYFUNCTION("""COMPUTED_VALUE"""),42048.99861111111)</f>
        <v>42048.99861</v>
      </c>
      <c r="H10" s="5">
        <f>IFERROR(__xludf.DUMMYFUNCTION("""COMPUTED_VALUE"""),0.13432)</f>
        <v>0.13432</v>
      </c>
      <c r="J10" s="7">
        <f>IFERROR(__xludf.DUMMYFUNCTION("""COMPUTED_VALUE"""),42049.99861111111)</f>
        <v>42049.99861</v>
      </c>
      <c r="K10" s="5">
        <f>IFERROR(__xludf.DUMMYFUNCTION("""COMPUTED_VALUE"""),1.3495)</f>
        <v>1.3495</v>
      </c>
    </row>
    <row r="11">
      <c r="A11" s="7">
        <f>IFERROR(__xludf.DUMMYFUNCTION("""COMPUTED_VALUE"""),42056.99861111111)</f>
        <v>42056.99861</v>
      </c>
      <c r="B11" s="5">
        <f>IFERROR(__xludf.DUMMYFUNCTION("""COMPUTED_VALUE"""),0.00738)</f>
        <v>0.00738</v>
      </c>
      <c r="D11" s="7">
        <f>IFERROR(__xludf.DUMMYFUNCTION("""COMPUTED_VALUE"""),42056.99861111111)</f>
        <v>42056.99861</v>
      </c>
      <c r="E11" s="5">
        <f>IFERROR(__xludf.DUMMYFUNCTION("""COMPUTED_VALUE"""),0.10491)</f>
        <v>0.10491</v>
      </c>
      <c r="G11" s="7">
        <f>IFERROR(__xludf.DUMMYFUNCTION("""COMPUTED_VALUE"""),42056.99861111111)</f>
        <v>42056.99861</v>
      </c>
      <c r="H11" s="5">
        <f>IFERROR(__xludf.DUMMYFUNCTION("""COMPUTED_VALUE"""),0.13398)</f>
        <v>0.13398</v>
      </c>
      <c r="J11" s="7">
        <f>IFERROR(__xludf.DUMMYFUNCTION("""COMPUTED_VALUE"""),42056.99861111111)</f>
        <v>42056.99861</v>
      </c>
      <c r="K11" s="5">
        <f>IFERROR(__xludf.DUMMYFUNCTION("""COMPUTED_VALUE"""),1.3526)</f>
        <v>1.3526</v>
      </c>
    </row>
    <row r="12">
      <c r="A12" s="7">
        <f>IFERROR(__xludf.DUMMYFUNCTION("""COMPUTED_VALUE"""),42063.99861111111)</f>
        <v>42063.99861</v>
      </c>
      <c r="B12" s="5">
        <f>IFERROR(__xludf.DUMMYFUNCTION("""COMPUTED_VALUE"""),0.00747)</f>
        <v>0.00747</v>
      </c>
      <c r="D12" s="7">
        <f>IFERROR(__xludf.DUMMYFUNCTION("""COMPUTED_VALUE"""),42063.99861111111)</f>
        <v>42063.99861</v>
      </c>
      <c r="E12" s="5">
        <f>IFERROR(__xludf.DUMMYFUNCTION("""COMPUTED_VALUE"""),0.10712)</f>
        <v>0.10712</v>
      </c>
      <c r="G12" s="7">
        <f>IFERROR(__xludf.DUMMYFUNCTION("""COMPUTED_VALUE"""),42063.99861111111)</f>
        <v>42063.99861</v>
      </c>
      <c r="H12" s="5">
        <f>IFERROR(__xludf.DUMMYFUNCTION("""COMPUTED_VALUE"""),0.134)</f>
        <v>0.134</v>
      </c>
      <c r="J12" s="7">
        <f>IFERROR(__xludf.DUMMYFUNCTION("""COMPUTED_VALUE"""),42063.99861111111)</f>
        <v>42063.99861</v>
      </c>
      <c r="K12" s="5">
        <f>IFERROR(__xludf.DUMMYFUNCTION("""COMPUTED_VALUE"""),1.3773)</f>
        <v>1.3773</v>
      </c>
    </row>
    <row r="13">
      <c r="A13" s="7">
        <f>IFERROR(__xludf.DUMMYFUNCTION("""COMPUTED_VALUE"""),42070.99861111111)</f>
        <v>42070.99861</v>
      </c>
      <c r="B13" s="5">
        <f>IFERROR(__xludf.DUMMYFUNCTION("""COMPUTED_VALUE"""),0.00763)</f>
        <v>0.00763</v>
      </c>
      <c r="D13" s="7">
        <f>IFERROR(__xludf.DUMMYFUNCTION("""COMPUTED_VALUE"""),42069.99861111111)</f>
        <v>42069.99861</v>
      </c>
      <c r="E13" s="5">
        <f>IFERROR(__xludf.DUMMYFUNCTION("""COMPUTED_VALUE"""),0.10894)</f>
        <v>0.10894</v>
      </c>
      <c r="G13" s="7">
        <f>IFERROR(__xludf.DUMMYFUNCTION("""COMPUTED_VALUE"""),42069.99861111111)</f>
        <v>42069.99861</v>
      </c>
      <c r="H13" s="5">
        <f>IFERROR(__xludf.DUMMYFUNCTION("""COMPUTED_VALUE"""),0.13422)</f>
        <v>0.13422</v>
      </c>
      <c r="J13" s="7">
        <f>IFERROR(__xludf.DUMMYFUNCTION("""COMPUTED_VALUE"""),42070.99861111111)</f>
        <v>42070.99861</v>
      </c>
      <c r="K13" s="5">
        <f>IFERROR(__xludf.DUMMYFUNCTION("""COMPUTED_VALUE"""),1.386)</f>
        <v>1.386</v>
      </c>
    </row>
    <row r="14">
      <c r="A14" s="7">
        <f>IFERROR(__xludf.DUMMYFUNCTION("""COMPUTED_VALUE"""),42077.99861111111)</f>
        <v>42077.99861</v>
      </c>
      <c r="B14" s="5">
        <f>IFERROR(__xludf.DUMMYFUNCTION("""COMPUTED_VALUE"""),0.00785)</f>
        <v>0.00785</v>
      </c>
      <c r="D14" s="7">
        <f>IFERROR(__xludf.DUMMYFUNCTION("""COMPUTED_VALUE"""),42077.99861111111)</f>
        <v>42077.99861</v>
      </c>
      <c r="E14" s="5">
        <f>IFERROR(__xludf.DUMMYFUNCTION("""COMPUTED_VALUE"""),0.10916)</f>
        <v>0.10916</v>
      </c>
      <c r="G14" s="7">
        <f>IFERROR(__xludf.DUMMYFUNCTION("""COMPUTED_VALUE"""),42077.99861111111)</f>
        <v>42077.99861</v>
      </c>
      <c r="H14" s="5">
        <f>IFERROR(__xludf.DUMMYFUNCTION("""COMPUTED_VALUE"""),0.13404)</f>
        <v>0.13404</v>
      </c>
      <c r="J14" s="7">
        <f>IFERROR(__xludf.DUMMYFUNCTION("""COMPUTED_VALUE"""),42077.99861111111)</f>
        <v>42077.99861</v>
      </c>
      <c r="K14" s="5">
        <f>IFERROR(__xludf.DUMMYFUNCTION("""COMPUTED_VALUE"""),1.4047)</f>
        <v>1.4047</v>
      </c>
    </row>
    <row r="15">
      <c r="A15" s="7">
        <f>IFERROR(__xludf.DUMMYFUNCTION("""COMPUTED_VALUE"""),42084.99861111111)</f>
        <v>42084.99861</v>
      </c>
      <c r="B15" s="5">
        <f>IFERROR(__xludf.DUMMYFUNCTION("""COMPUTED_VALUE"""),0.0077)</f>
        <v>0.0077</v>
      </c>
      <c r="D15" s="7">
        <f>IFERROR(__xludf.DUMMYFUNCTION("""COMPUTED_VALUE"""),42084.99861111111)</f>
        <v>42084.99861</v>
      </c>
      <c r="E15" s="5">
        <f>IFERROR(__xludf.DUMMYFUNCTION("""COMPUTED_VALUE"""),0.10705)</f>
        <v>0.10705</v>
      </c>
      <c r="G15" s="7">
        <f>IFERROR(__xludf.DUMMYFUNCTION("""COMPUTED_VALUE"""),42084.99861111111)</f>
        <v>42084.99861</v>
      </c>
      <c r="H15" s="5">
        <f>IFERROR(__xludf.DUMMYFUNCTION("""COMPUTED_VALUE"""),0.13413)</f>
        <v>0.13413</v>
      </c>
      <c r="J15" s="7">
        <f>IFERROR(__xludf.DUMMYFUNCTION("""COMPUTED_VALUE"""),42084.99861111111)</f>
        <v>42084.99861</v>
      </c>
      <c r="K15" s="5">
        <f>IFERROR(__xludf.DUMMYFUNCTION("""COMPUTED_VALUE"""),1.3814)</f>
        <v>1.3814</v>
      </c>
    </row>
    <row r="16">
      <c r="A16" s="7">
        <f>IFERROR(__xludf.DUMMYFUNCTION("""COMPUTED_VALUE"""),42091.99861111111)</f>
        <v>42091.99861</v>
      </c>
      <c r="B16" s="5">
        <f>IFERROR(__xludf.DUMMYFUNCTION("""COMPUTED_VALUE"""),0.00771)</f>
        <v>0.00771</v>
      </c>
      <c r="D16" s="7">
        <f>IFERROR(__xludf.DUMMYFUNCTION("""COMPUTED_VALUE"""),42090.99861111111)</f>
        <v>42090.99861</v>
      </c>
      <c r="E16" s="5">
        <f>IFERROR(__xludf.DUMMYFUNCTION("""COMPUTED_VALUE"""),0.10679)</f>
        <v>0.10679</v>
      </c>
      <c r="G16" s="7">
        <f>IFERROR(__xludf.DUMMYFUNCTION("""COMPUTED_VALUE"""),42090.99861111111)</f>
        <v>42090.99861</v>
      </c>
      <c r="H16" s="5">
        <f>IFERROR(__xludf.DUMMYFUNCTION("""COMPUTED_VALUE"""),0.13388)</f>
        <v>0.13388</v>
      </c>
      <c r="J16" s="7">
        <f>IFERROR(__xludf.DUMMYFUNCTION("""COMPUTED_VALUE"""),42091.99861111111)</f>
        <v>42091.99861</v>
      </c>
      <c r="K16" s="5">
        <f>IFERROR(__xludf.DUMMYFUNCTION("""COMPUTED_VALUE"""),1.3651)</f>
        <v>1.3651</v>
      </c>
    </row>
    <row r="17">
      <c r="A17" s="7">
        <f>IFERROR(__xludf.DUMMYFUNCTION("""COMPUTED_VALUE"""),42098.99861111111)</f>
        <v>42098.99861</v>
      </c>
      <c r="B17" s="5">
        <f>IFERROR(__xludf.DUMMYFUNCTION("""COMPUTED_VALUE"""),0.00766)</f>
        <v>0.00766</v>
      </c>
      <c r="D17" s="7">
        <f>IFERROR(__xludf.DUMMYFUNCTION("""COMPUTED_VALUE"""),42097.99861111111)</f>
        <v>42097.99861</v>
      </c>
      <c r="E17" s="5">
        <f>IFERROR(__xludf.DUMMYFUNCTION("""COMPUTED_VALUE"""),0.10652)</f>
        <v>0.10652</v>
      </c>
      <c r="G17" s="7">
        <f>IFERROR(__xludf.DUMMYFUNCTION("""COMPUTED_VALUE"""),42097.99861111111)</f>
        <v>42097.99861</v>
      </c>
      <c r="H17" s="5">
        <f>IFERROR(__xludf.DUMMYFUNCTION("""COMPUTED_VALUE"""),0.13377)</f>
        <v>0.13377</v>
      </c>
      <c r="J17" s="7">
        <f>IFERROR(__xludf.DUMMYFUNCTION("""COMPUTED_VALUE"""),42098.99861111111)</f>
        <v>42098.99861</v>
      </c>
      <c r="K17" s="5">
        <f>IFERROR(__xludf.DUMMYFUNCTION("""COMPUTED_VALUE"""),1.3576)</f>
        <v>1.3576</v>
      </c>
    </row>
    <row r="18">
      <c r="A18" s="7">
        <f>IFERROR(__xludf.DUMMYFUNCTION("""COMPUTED_VALUE"""),42105.99861111111)</f>
        <v>42105.99861</v>
      </c>
      <c r="B18" s="5">
        <f>IFERROR(__xludf.DUMMYFUNCTION("""COMPUTED_VALUE"""),0.00784)</f>
        <v>0.00784</v>
      </c>
      <c r="D18" s="7">
        <f>IFERROR(__xludf.DUMMYFUNCTION("""COMPUTED_VALUE"""),42105.99861111111)</f>
        <v>42105.99861</v>
      </c>
      <c r="E18" s="5">
        <f>IFERROR(__xludf.DUMMYFUNCTION("""COMPUTED_VALUE"""),0.10675)</f>
        <v>0.10675</v>
      </c>
      <c r="G18" s="7">
        <f>IFERROR(__xludf.DUMMYFUNCTION("""COMPUTED_VALUE"""),42105.99861111111)</f>
        <v>42105.99861</v>
      </c>
      <c r="H18" s="5">
        <f>IFERROR(__xludf.DUMMYFUNCTION("""COMPUTED_VALUE"""),0.13381)</f>
        <v>0.13381</v>
      </c>
      <c r="J18" s="7">
        <f>IFERROR(__xludf.DUMMYFUNCTION("""COMPUTED_VALUE"""),42105.99861111111)</f>
        <v>42105.99861</v>
      </c>
      <c r="K18" s="5">
        <f>IFERROR(__xludf.DUMMYFUNCTION("""COMPUTED_VALUE"""),1.3805)</f>
        <v>1.3805</v>
      </c>
    </row>
    <row r="19">
      <c r="A19" s="7">
        <f>IFERROR(__xludf.DUMMYFUNCTION("""COMPUTED_VALUE"""),42112.99861111111)</f>
        <v>42112.99861</v>
      </c>
      <c r="B19" s="5">
        <f>IFERROR(__xludf.DUMMYFUNCTION("""COMPUTED_VALUE"""),0.00778)</f>
        <v>0.00778</v>
      </c>
      <c r="D19" s="7">
        <f>IFERROR(__xludf.DUMMYFUNCTION("""COMPUTED_VALUE"""),42112.99861111111)</f>
        <v>42112.99861</v>
      </c>
      <c r="E19" s="5">
        <f>IFERROR(__xludf.DUMMYFUNCTION("""COMPUTED_VALUE"""),0.10712)</f>
        <v>0.10712</v>
      </c>
      <c r="G19" s="7">
        <f>IFERROR(__xludf.DUMMYFUNCTION("""COMPUTED_VALUE"""),42111.99861111111)</f>
        <v>42111.99861</v>
      </c>
      <c r="H19" s="5">
        <f>IFERROR(__xludf.DUMMYFUNCTION("""COMPUTED_VALUE"""),0.13402)</f>
        <v>0.13402</v>
      </c>
      <c r="J19" s="7">
        <f>IFERROR(__xludf.DUMMYFUNCTION("""COMPUTED_VALUE"""),42112.99861111111)</f>
        <v>42112.99861</v>
      </c>
      <c r="K19" s="5">
        <f>IFERROR(__xludf.DUMMYFUNCTION("""COMPUTED_VALUE"""),1.3842)</f>
        <v>1.3842</v>
      </c>
    </row>
    <row r="20">
      <c r="A20" s="7">
        <f>IFERROR(__xludf.DUMMYFUNCTION("""COMPUTED_VALUE"""),42119.99861111111)</f>
        <v>42119.99861</v>
      </c>
      <c r="B20" s="5">
        <f>IFERROR(__xludf.DUMMYFUNCTION("""COMPUTED_VALUE"""),0.00773)</f>
        <v>0.00773</v>
      </c>
      <c r="D20" s="7">
        <f>IFERROR(__xludf.DUMMYFUNCTION("""COMPUTED_VALUE"""),42118.99861111111)</f>
        <v>42118.99861</v>
      </c>
      <c r="E20" s="5">
        <f>IFERROR(__xludf.DUMMYFUNCTION("""COMPUTED_VALUE"""),0.10644)</f>
        <v>0.10644</v>
      </c>
      <c r="G20" s="7">
        <f>IFERROR(__xludf.DUMMYFUNCTION("""COMPUTED_VALUE"""),42118.99861111111)</f>
        <v>42118.99861</v>
      </c>
      <c r="H20" s="5">
        <f>IFERROR(__xludf.DUMMYFUNCTION("""COMPUTED_VALUE"""),0.13399)</f>
        <v>0.13399</v>
      </c>
      <c r="J20" s="7">
        <f>IFERROR(__xludf.DUMMYFUNCTION("""COMPUTED_VALUE"""),42119.99861111111)</f>
        <v>42119.99861</v>
      </c>
      <c r="K20" s="5">
        <f>IFERROR(__xludf.DUMMYFUNCTION("""COMPUTED_VALUE"""),1.3941)</f>
        <v>1.3941</v>
      </c>
    </row>
    <row r="21">
      <c r="A21" s="7">
        <f>IFERROR(__xludf.DUMMYFUNCTION("""COMPUTED_VALUE"""),42126.99861111111)</f>
        <v>42126.99861</v>
      </c>
      <c r="B21" s="5">
        <f>IFERROR(__xludf.DUMMYFUNCTION("""COMPUTED_VALUE"""),0.00743)</f>
        <v>0.00743</v>
      </c>
      <c r="D21" s="7">
        <f>IFERROR(__xludf.DUMMYFUNCTION("""COMPUTED_VALUE"""),42125.99861111111)</f>
        <v>42125.99861</v>
      </c>
      <c r="E21" s="5">
        <f>IFERROR(__xludf.DUMMYFUNCTION("""COMPUTED_VALUE"""),0.1062)</f>
        <v>0.1062</v>
      </c>
      <c r="G21" s="7">
        <f>IFERROR(__xludf.DUMMYFUNCTION("""COMPUTED_VALUE"""),42125.99861111111)</f>
        <v>42125.99861</v>
      </c>
      <c r="H21" s="5">
        <f>IFERROR(__xludf.DUMMYFUNCTION("""COMPUTED_VALUE"""),0.13392)</f>
        <v>0.13392</v>
      </c>
      <c r="J21" s="7">
        <f>IFERROR(__xludf.DUMMYFUNCTION("""COMPUTED_VALUE"""),42126.99861111111)</f>
        <v>42126.99861</v>
      </c>
      <c r="K21" s="5">
        <f>IFERROR(__xludf.DUMMYFUNCTION("""COMPUTED_VALUE"""),1.3514)</f>
        <v>1.3514</v>
      </c>
    </row>
    <row r="22">
      <c r="A22" s="7">
        <f>IFERROR(__xludf.DUMMYFUNCTION("""COMPUTED_VALUE"""),42133.99861111111)</f>
        <v>42133.99861</v>
      </c>
      <c r="B22" s="5">
        <f>IFERROR(__xludf.DUMMYFUNCTION("""COMPUTED_VALUE"""),0.00745)</f>
        <v>0.00745</v>
      </c>
      <c r="D22" s="7">
        <f>IFERROR(__xludf.DUMMYFUNCTION("""COMPUTED_VALUE"""),42132.99861111111)</f>
        <v>42132.99861</v>
      </c>
      <c r="E22" s="5">
        <f>IFERROR(__xludf.DUMMYFUNCTION("""COMPUTED_VALUE"""),0.10797)</f>
        <v>0.10797</v>
      </c>
      <c r="G22" s="7">
        <f>IFERROR(__xludf.DUMMYFUNCTION("""COMPUTED_VALUE"""),42132.99861111111)</f>
        <v>42132.99861</v>
      </c>
      <c r="H22" s="5">
        <f>IFERROR(__xludf.DUMMYFUNCTION("""COMPUTED_VALUE"""),0.13398)</f>
        <v>0.13398</v>
      </c>
      <c r="J22" s="7">
        <f>IFERROR(__xludf.DUMMYFUNCTION("""COMPUTED_VALUE"""),42133.99861111111)</f>
        <v>42133.99861</v>
      </c>
      <c r="K22" s="5">
        <f>IFERROR(__xludf.DUMMYFUNCTION("""COMPUTED_VALUE"""),1.3771)</f>
        <v>1.3771</v>
      </c>
    </row>
    <row r="23">
      <c r="A23" s="7">
        <f>IFERROR(__xludf.DUMMYFUNCTION("""COMPUTED_VALUE"""),42140.99861111111)</f>
        <v>42140.99861</v>
      </c>
      <c r="B23" s="5">
        <f>IFERROR(__xludf.DUMMYFUNCTION("""COMPUTED_VALUE"""),0.00732)</f>
        <v>0.00732</v>
      </c>
      <c r="D23" s="7">
        <f>IFERROR(__xludf.DUMMYFUNCTION("""COMPUTED_VALUE"""),42139.99861111111)</f>
        <v>42139.99861</v>
      </c>
      <c r="E23" s="5">
        <f>IFERROR(__xludf.DUMMYFUNCTION("""COMPUTED_VALUE"""),0.10655)</f>
        <v>0.10655</v>
      </c>
      <c r="G23" s="7">
        <f>IFERROR(__xludf.DUMMYFUNCTION("""COMPUTED_VALUE"""),42139.99861111111)</f>
        <v>42139.99861</v>
      </c>
      <c r="H23" s="5">
        <f>IFERROR(__xludf.DUMMYFUNCTION("""COMPUTED_VALUE"""),0.13393)</f>
        <v>0.13393</v>
      </c>
      <c r="J23" s="7">
        <f>IFERROR(__xludf.DUMMYFUNCTION("""COMPUTED_VALUE"""),42140.99861111111)</f>
        <v>42140.99861</v>
      </c>
      <c r="K23" s="5">
        <f>IFERROR(__xludf.DUMMYFUNCTION("""COMPUTED_VALUE"""),1.373)</f>
        <v>1.373</v>
      </c>
    </row>
    <row r="24">
      <c r="A24" s="7">
        <f>IFERROR(__xludf.DUMMYFUNCTION("""COMPUTED_VALUE"""),42147.99861111111)</f>
        <v>42147.99861</v>
      </c>
      <c r="B24" s="5">
        <f>IFERROR(__xludf.DUMMYFUNCTION("""COMPUTED_VALUE"""),0.00747)</f>
        <v>0.00747</v>
      </c>
      <c r="D24" s="7">
        <f>IFERROR(__xludf.DUMMYFUNCTION("""COMPUTED_VALUE"""),42146.99861111111)</f>
        <v>42146.99861</v>
      </c>
      <c r="E24" s="5">
        <f>IFERROR(__xludf.DUMMYFUNCTION("""COMPUTED_VALUE"""),0.10801)</f>
        <v>0.10801</v>
      </c>
      <c r="G24" s="7">
        <f>IFERROR(__xludf.DUMMYFUNCTION("""COMPUTED_VALUE"""),42146.99861111111)</f>
        <v>42146.99861</v>
      </c>
      <c r="H24" s="5">
        <f>IFERROR(__xludf.DUMMYFUNCTION("""COMPUTED_VALUE"""),0.13407)</f>
        <v>0.13407</v>
      </c>
      <c r="J24" s="7">
        <f>IFERROR(__xludf.DUMMYFUNCTION("""COMPUTED_VALUE"""),42147.99861111111)</f>
        <v>42147.99861</v>
      </c>
      <c r="K24" s="5">
        <f>IFERROR(__xludf.DUMMYFUNCTION("""COMPUTED_VALUE"""),1.404)</f>
        <v>1.404</v>
      </c>
    </row>
    <row r="25">
      <c r="A25" s="7">
        <f>IFERROR(__xludf.DUMMYFUNCTION("""COMPUTED_VALUE"""),42153.99861111111)</f>
        <v>42153.99861</v>
      </c>
      <c r="B25" s="5">
        <f>IFERROR(__xludf.DUMMYFUNCTION("""COMPUTED_VALUE"""),0.00733)</f>
        <v>0.00733</v>
      </c>
      <c r="D25" s="7">
        <f>IFERROR(__xludf.DUMMYFUNCTION("""COMPUTED_VALUE"""),42153.99861111111)</f>
        <v>42153.99861</v>
      </c>
      <c r="E25" s="5">
        <f>IFERROR(__xludf.DUMMYFUNCTION("""COMPUTED_VALUE"""),0.10659)</f>
        <v>0.10659</v>
      </c>
      <c r="G25" s="7">
        <f>IFERROR(__xludf.DUMMYFUNCTION("""COMPUTED_VALUE"""),42153.99861111111)</f>
        <v>42153.99861</v>
      </c>
      <c r="H25" s="5">
        <f>IFERROR(__xludf.DUMMYFUNCTION("""COMPUTED_VALUE"""),0.13402)</f>
        <v>0.13402</v>
      </c>
      <c r="J25" s="7">
        <f>IFERROR(__xludf.DUMMYFUNCTION("""COMPUTED_VALUE"""),42153.99861111111)</f>
        <v>42153.99861</v>
      </c>
      <c r="K25" s="5">
        <f>IFERROR(__xludf.DUMMYFUNCTION("""COMPUTED_VALUE"""),1.3909)</f>
        <v>1.3909</v>
      </c>
    </row>
    <row r="26">
      <c r="A26" s="7">
        <f>IFERROR(__xludf.DUMMYFUNCTION("""COMPUTED_VALUE"""),42160.99861111111)</f>
        <v>42160.99861</v>
      </c>
      <c r="B26" s="5">
        <f>IFERROR(__xludf.DUMMYFUNCTION("""COMPUTED_VALUE"""),0.00716)</f>
        <v>0.00716</v>
      </c>
      <c r="D26" s="7">
        <f>IFERROR(__xludf.DUMMYFUNCTION("""COMPUTED_VALUE"""),42160.99861111111)</f>
        <v>42160.99861</v>
      </c>
      <c r="E26" s="5">
        <f>IFERROR(__xludf.DUMMYFUNCTION("""COMPUTED_VALUE"""),0.10734)</f>
        <v>0.10734</v>
      </c>
      <c r="G26" s="7">
        <f>IFERROR(__xludf.DUMMYFUNCTION("""COMPUTED_VALUE"""),42160.99861111111)</f>
        <v>42160.99861</v>
      </c>
      <c r="H26" s="5">
        <f>IFERROR(__xludf.DUMMYFUNCTION("""COMPUTED_VALUE"""),0.13402)</f>
        <v>0.13402</v>
      </c>
      <c r="J26" s="7">
        <f>IFERROR(__xludf.DUMMYFUNCTION("""COMPUTED_VALUE"""),42160.99861111111)</f>
        <v>42160.99861</v>
      </c>
      <c r="K26" s="5">
        <f>IFERROR(__xludf.DUMMYFUNCTION("""COMPUTED_VALUE"""),1.3729)</f>
        <v>1.3729</v>
      </c>
    </row>
    <row r="27">
      <c r="A27" s="7">
        <f>IFERROR(__xludf.DUMMYFUNCTION("""COMPUTED_VALUE"""),42167.99861111111)</f>
        <v>42167.99861</v>
      </c>
      <c r="B27" s="5">
        <f>IFERROR(__xludf.DUMMYFUNCTION("""COMPUTED_VALUE"""),0.0072)</f>
        <v>0.0072</v>
      </c>
      <c r="D27" s="7">
        <f>IFERROR(__xludf.DUMMYFUNCTION("""COMPUTED_VALUE"""),42167.99861111111)</f>
        <v>42167.99861</v>
      </c>
      <c r="E27" s="5">
        <f>IFERROR(__xludf.DUMMYFUNCTION("""COMPUTED_VALUE"""),0.10836)</f>
        <v>0.10836</v>
      </c>
      <c r="G27" s="7">
        <f>IFERROR(__xludf.DUMMYFUNCTION("""COMPUTED_VALUE"""),42167.99861111111)</f>
        <v>42167.99861</v>
      </c>
      <c r="H27" s="5">
        <f>IFERROR(__xludf.DUMMYFUNCTION("""COMPUTED_VALUE"""),0.13404)</f>
        <v>0.13404</v>
      </c>
      <c r="J27" s="7">
        <f>IFERROR(__xludf.DUMMYFUNCTION("""COMPUTED_VALUE"""),42167.99861111111)</f>
        <v>42167.99861</v>
      </c>
      <c r="K27" s="5">
        <f>IFERROR(__xludf.DUMMYFUNCTION("""COMPUTED_VALUE"""),1.3797)</f>
        <v>1.3797</v>
      </c>
    </row>
    <row r="28">
      <c r="A28" s="7">
        <f>IFERROR(__xludf.DUMMYFUNCTION("""COMPUTED_VALUE"""),42174.99861111111)</f>
        <v>42174.99861</v>
      </c>
      <c r="B28" s="5">
        <f>IFERROR(__xludf.DUMMYFUNCTION("""COMPUTED_VALUE"""),0.00718)</f>
        <v>0.00718</v>
      </c>
      <c r="D28" s="7">
        <f>IFERROR(__xludf.DUMMYFUNCTION("""COMPUTED_VALUE"""),42174.99861111111)</f>
        <v>42174.99861</v>
      </c>
      <c r="E28" s="5">
        <f>IFERROR(__xludf.DUMMYFUNCTION("""COMPUTED_VALUE"""),0.10848)</f>
        <v>0.10848</v>
      </c>
      <c r="G28" s="7">
        <f>IFERROR(__xludf.DUMMYFUNCTION("""COMPUTED_VALUE"""),42174.99861111111)</f>
        <v>42174.99861</v>
      </c>
      <c r="H28" s="5">
        <f>IFERROR(__xludf.DUMMYFUNCTION("""COMPUTED_VALUE"""),0.13402)</f>
        <v>0.13402</v>
      </c>
      <c r="J28" s="7">
        <f>IFERROR(__xludf.DUMMYFUNCTION("""COMPUTED_VALUE"""),42174.99861111111)</f>
        <v>42174.99861</v>
      </c>
      <c r="K28" s="5">
        <f>IFERROR(__xludf.DUMMYFUNCTION("""COMPUTED_VALUE"""),1.3966)</f>
        <v>1.3966</v>
      </c>
    </row>
    <row r="29">
      <c r="A29" s="7">
        <f>IFERROR(__xludf.DUMMYFUNCTION("""COMPUTED_VALUE"""),42181.99861111111)</f>
        <v>42181.99861</v>
      </c>
      <c r="B29" s="5">
        <f>IFERROR(__xludf.DUMMYFUNCTION("""COMPUTED_VALUE"""),0.00723)</f>
        <v>0.00723</v>
      </c>
      <c r="D29" s="7">
        <f>IFERROR(__xludf.DUMMYFUNCTION("""COMPUTED_VALUE"""),42181.99861111111)</f>
        <v>42181.99861</v>
      </c>
      <c r="E29" s="5">
        <f>IFERROR(__xludf.DUMMYFUNCTION("""COMPUTED_VALUE"""),0.10776)</f>
        <v>0.10776</v>
      </c>
      <c r="G29" s="7">
        <f>IFERROR(__xludf.DUMMYFUNCTION("""COMPUTED_VALUE"""),42181.99861111111)</f>
        <v>42181.99861</v>
      </c>
      <c r="H29" s="5">
        <f>IFERROR(__xludf.DUMMYFUNCTION("""COMPUTED_VALUE"""),0.13401)</f>
        <v>0.13401</v>
      </c>
      <c r="J29" s="7">
        <f>IFERROR(__xludf.DUMMYFUNCTION("""COMPUTED_VALUE"""),42181.99861111111)</f>
        <v>42181.99861</v>
      </c>
      <c r="K29" s="5">
        <f>IFERROR(__xludf.DUMMYFUNCTION("""COMPUTED_VALUE"""),1.4083)</f>
        <v>1.4083</v>
      </c>
    </row>
    <row r="30">
      <c r="A30" s="7">
        <f>IFERROR(__xludf.DUMMYFUNCTION("""COMPUTED_VALUE"""),42188.99861111111)</f>
        <v>42188.99861</v>
      </c>
      <c r="B30" s="5">
        <f>IFERROR(__xludf.DUMMYFUNCTION("""COMPUTED_VALUE"""),0.00733)</f>
        <v>0.00733</v>
      </c>
      <c r="D30" s="7">
        <f>IFERROR(__xludf.DUMMYFUNCTION("""COMPUTED_VALUE"""),42188.99861111111)</f>
        <v>42188.99861</v>
      </c>
      <c r="E30" s="5">
        <f>IFERROR(__xludf.DUMMYFUNCTION("""COMPUTED_VALUE"""),0.10633)</f>
        <v>0.10633</v>
      </c>
      <c r="G30" s="7">
        <f>IFERROR(__xludf.DUMMYFUNCTION("""COMPUTED_VALUE"""),42188.99861111111)</f>
        <v>42188.99861</v>
      </c>
      <c r="H30" s="5">
        <f>IFERROR(__xludf.DUMMYFUNCTION("""COMPUTED_VALUE"""),0.13401)</f>
        <v>0.13401</v>
      </c>
      <c r="J30" s="7">
        <f>IFERROR(__xludf.DUMMYFUNCTION("""COMPUTED_VALUE"""),42188.99861111111)</f>
        <v>42188.99861</v>
      </c>
      <c r="K30" s="5">
        <f>IFERROR(__xludf.DUMMYFUNCTION("""COMPUTED_VALUE"""),1.3992)</f>
        <v>1.3992</v>
      </c>
    </row>
    <row r="31">
      <c r="A31" s="7">
        <f>IFERROR(__xludf.DUMMYFUNCTION("""COMPUTED_VALUE"""),42195.99861111111)</f>
        <v>42195.99861</v>
      </c>
      <c r="B31" s="5">
        <f>IFERROR(__xludf.DUMMYFUNCTION("""COMPUTED_VALUE"""),0.0073)</f>
        <v>0.0073</v>
      </c>
      <c r="D31" s="7">
        <f>IFERROR(__xludf.DUMMYFUNCTION("""COMPUTED_VALUE"""),42195.99861111111)</f>
        <v>42195.99861</v>
      </c>
      <c r="E31" s="5">
        <f>IFERROR(__xludf.DUMMYFUNCTION("""COMPUTED_VALUE"""),0.10608)</f>
        <v>0.10608</v>
      </c>
      <c r="G31" s="7">
        <f>IFERROR(__xludf.DUMMYFUNCTION("""COMPUTED_VALUE"""),42195.99861111111)</f>
        <v>42195.99861</v>
      </c>
      <c r="H31" s="5">
        <f>IFERROR(__xludf.DUMMYFUNCTION("""COMPUTED_VALUE"""),0.13398)</f>
        <v>0.13398</v>
      </c>
      <c r="J31" s="7">
        <f>IFERROR(__xludf.DUMMYFUNCTION("""COMPUTED_VALUE"""),42195.99861111111)</f>
        <v>42195.99861</v>
      </c>
      <c r="K31" s="5">
        <f>IFERROR(__xludf.DUMMYFUNCTION("""COMPUTED_VALUE"""),1.3887)</f>
        <v>1.3887</v>
      </c>
    </row>
    <row r="32">
      <c r="A32" s="7">
        <f>IFERROR(__xludf.DUMMYFUNCTION("""COMPUTED_VALUE"""),42202.99861111111)</f>
        <v>42202.99861</v>
      </c>
      <c r="B32" s="5">
        <f>IFERROR(__xludf.DUMMYFUNCTION("""COMPUTED_VALUE"""),0.00744)</f>
        <v>0.00744</v>
      </c>
      <c r="D32" s="7">
        <f>IFERROR(__xludf.DUMMYFUNCTION("""COMPUTED_VALUE"""),42202.99861111111)</f>
        <v>42202.99861</v>
      </c>
      <c r="E32" s="5">
        <f>IFERROR(__xludf.DUMMYFUNCTION("""COMPUTED_VALUE"""),0.10649)</f>
        <v>0.10649</v>
      </c>
      <c r="G32" s="7">
        <f>IFERROR(__xludf.DUMMYFUNCTION("""COMPUTED_VALUE"""),42202.99861111111)</f>
        <v>42202.99861</v>
      </c>
      <c r="H32" s="5">
        <f>IFERROR(__xludf.DUMMYFUNCTION("""COMPUTED_VALUE"""),0.13401)</f>
        <v>0.13401</v>
      </c>
      <c r="J32" s="7">
        <f>IFERROR(__xludf.DUMMYFUNCTION("""COMPUTED_VALUE"""),42202.99861111111)</f>
        <v>42202.99861</v>
      </c>
      <c r="K32" s="5">
        <f>IFERROR(__xludf.DUMMYFUNCTION("""COMPUTED_VALUE"""),1.4387)</f>
        <v>1.4387</v>
      </c>
    </row>
    <row r="33">
      <c r="A33" s="7">
        <f>IFERROR(__xludf.DUMMYFUNCTION("""COMPUTED_VALUE"""),42209.99861111111)</f>
        <v>42209.99861</v>
      </c>
      <c r="B33" s="5">
        <f>IFERROR(__xludf.DUMMYFUNCTION("""COMPUTED_VALUE"""),0.00736)</f>
        <v>0.00736</v>
      </c>
      <c r="D33" s="7">
        <f>IFERROR(__xludf.DUMMYFUNCTION("""COMPUTED_VALUE"""),42209.99861111111)</f>
        <v>42209.99861</v>
      </c>
      <c r="E33" s="5">
        <f>IFERROR(__xludf.DUMMYFUNCTION("""COMPUTED_VALUE"""),0.10593)</f>
        <v>0.10593</v>
      </c>
      <c r="G33" s="7">
        <f>IFERROR(__xludf.DUMMYFUNCTION("""COMPUTED_VALUE"""),42209.99861111111)</f>
        <v>42209.99861</v>
      </c>
      <c r="H33" s="5">
        <f>IFERROR(__xludf.DUMMYFUNCTION("""COMPUTED_VALUE"""),0.13401)</f>
        <v>0.13401</v>
      </c>
      <c r="J33" s="7">
        <f>IFERROR(__xludf.DUMMYFUNCTION("""COMPUTED_VALUE"""),42209.99861111111)</f>
        <v>42209.99861</v>
      </c>
      <c r="K33" s="5">
        <f>IFERROR(__xludf.DUMMYFUNCTION("""COMPUTED_VALUE"""),1.4111)</f>
        <v>1.4111</v>
      </c>
    </row>
    <row r="34">
      <c r="A34" s="7">
        <f>IFERROR(__xludf.DUMMYFUNCTION("""COMPUTED_VALUE"""),42216.99861111111)</f>
        <v>42216.99861</v>
      </c>
      <c r="B34" s="5">
        <f>IFERROR(__xludf.DUMMYFUNCTION("""COMPUTED_VALUE"""),0.00735)</f>
        <v>0.00735</v>
      </c>
      <c r="D34" s="7">
        <f>IFERROR(__xludf.DUMMYFUNCTION("""COMPUTED_VALUE"""),42216.99861111111)</f>
        <v>42216.99861</v>
      </c>
      <c r="E34" s="5">
        <f>IFERROR(__xludf.DUMMYFUNCTION("""COMPUTED_VALUE"""),0.10548)</f>
        <v>0.10548</v>
      </c>
      <c r="G34" s="7">
        <f>IFERROR(__xludf.DUMMYFUNCTION("""COMPUTED_VALUE"""),42216.99861111111)</f>
        <v>42216.99861</v>
      </c>
      <c r="H34" s="5">
        <f>IFERROR(__xludf.DUMMYFUNCTION("""COMPUTED_VALUE"""),0.13399)</f>
        <v>0.13399</v>
      </c>
      <c r="J34" s="7">
        <f>IFERROR(__xludf.DUMMYFUNCTION("""COMPUTED_VALUE"""),42216.99861111111)</f>
        <v>42216.99861</v>
      </c>
      <c r="K34" s="5">
        <f>IFERROR(__xludf.DUMMYFUNCTION("""COMPUTED_VALUE"""),1.4214)</f>
        <v>1.4214</v>
      </c>
    </row>
    <row r="35">
      <c r="A35" s="7">
        <f>IFERROR(__xludf.DUMMYFUNCTION("""COMPUTED_VALUE"""),42223.99861111111)</f>
        <v>42223.99861</v>
      </c>
      <c r="B35" s="5">
        <f>IFERROR(__xludf.DUMMYFUNCTION("""COMPUTED_VALUE"""),0.00734)</f>
        <v>0.00734</v>
      </c>
      <c r="D35" s="7">
        <f>IFERROR(__xludf.DUMMYFUNCTION("""COMPUTED_VALUE"""),42223.99861111111)</f>
        <v>42223.99861</v>
      </c>
      <c r="E35" s="5">
        <f>IFERROR(__xludf.DUMMYFUNCTION("""COMPUTED_VALUE"""),0.10393)</f>
        <v>0.10393</v>
      </c>
      <c r="G35" s="7">
        <f>IFERROR(__xludf.DUMMYFUNCTION("""COMPUTED_VALUE"""),42223.99861111111)</f>
        <v>42223.99861</v>
      </c>
      <c r="H35" s="5">
        <f>IFERROR(__xludf.DUMMYFUNCTION("""COMPUTED_VALUE"""),0.134)</f>
        <v>0.134</v>
      </c>
      <c r="J35" s="7">
        <f>IFERROR(__xludf.DUMMYFUNCTION("""COMPUTED_VALUE"""),42223.99861111111)</f>
        <v>42223.99861</v>
      </c>
      <c r="K35" s="5">
        <f>IFERROR(__xludf.DUMMYFUNCTION("""COMPUTED_VALUE"""),1.4116)</f>
        <v>1.4116</v>
      </c>
    </row>
    <row r="36">
      <c r="A36" s="7">
        <f>IFERROR(__xludf.DUMMYFUNCTION("""COMPUTED_VALUE"""),42230.99861111111)</f>
        <v>42230.99861</v>
      </c>
      <c r="B36" s="5">
        <f>IFERROR(__xludf.DUMMYFUNCTION("""COMPUTED_VALUE"""),0.00724)</f>
        <v>0.00724</v>
      </c>
      <c r="D36" s="7">
        <f>IFERROR(__xludf.DUMMYFUNCTION("""COMPUTED_VALUE"""),42230.99861111111)</f>
        <v>42230.99861</v>
      </c>
      <c r="E36" s="5">
        <f>IFERROR(__xludf.DUMMYFUNCTION("""COMPUTED_VALUE"""),0.10573)</f>
        <v>0.10573</v>
      </c>
      <c r="G36" s="7">
        <f>IFERROR(__xludf.DUMMYFUNCTION("""COMPUTED_VALUE"""),42230.99861111111)</f>
        <v>42230.99861</v>
      </c>
      <c r="H36" s="5">
        <f>IFERROR(__xludf.DUMMYFUNCTION("""COMPUTED_VALUE"""),0.13397)</f>
        <v>0.13397</v>
      </c>
      <c r="J36" s="7">
        <f>IFERROR(__xludf.DUMMYFUNCTION("""COMPUTED_VALUE"""),42230.99861111111)</f>
        <v>42230.99861</v>
      </c>
      <c r="K36" s="5">
        <f>IFERROR(__xludf.DUMMYFUNCTION("""COMPUTED_VALUE"""),1.4067)</f>
        <v>1.4067</v>
      </c>
    </row>
    <row r="37">
      <c r="A37" s="7">
        <f>IFERROR(__xludf.DUMMYFUNCTION("""COMPUTED_VALUE"""),42237.99861111111)</f>
        <v>42237.99861</v>
      </c>
      <c r="B37" s="5">
        <f>IFERROR(__xludf.DUMMYFUNCTION("""COMPUTED_VALUE"""),0.00719)</f>
        <v>0.00719</v>
      </c>
      <c r="D37" s="7">
        <f>IFERROR(__xludf.DUMMYFUNCTION("""COMPUTED_VALUE"""),42237.99861111111)</f>
        <v>42237.99861</v>
      </c>
      <c r="E37" s="5">
        <f>IFERROR(__xludf.DUMMYFUNCTION("""COMPUTED_VALUE"""),0.10506)</f>
        <v>0.10506</v>
      </c>
      <c r="G37" s="7">
        <f>IFERROR(__xludf.DUMMYFUNCTION("""COMPUTED_VALUE"""),42237.99861111111)</f>
        <v>42237.99861</v>
      </c>
      <c r="H37" s="5">
        <f>IFERROR(__xludf.DUMMYFUNCTION("""COMPUTED_VALUE"""),0.13397)</f>
        <v>0.13397</v>
      </c>
      <c r="J37" s="7">
        <f>IFERROR(__xludf.DUMMYFUNCTION("""COMPUTED_VALUE"""),42237.99861111111)</f>
        <v>42237.99861</v>
      </c>
      <c r="K37" s="5">
        <f>IFERROR(__xludf.DUMMYFUNCTION("""COMPUTED_VALUE"""),1.3772)</f>
        <v>1.3772</v>
      </c>
    </row>
    <row r="38">
      <c r="A38" s="7">
        <f>IFERROR(__xludf.DUMMYFUNCTION("""COMPUTED_VALUE"""),42244.99861111111)</f>
        <v>42244.99861</v>
      </c>
      <c r="B38" s="5">
        <f>IFERROR(__xludf.DUMMYFUNCTION("""COMPUTED_VALUE"""),0.00735)</f>
        <v>0.00735</v>
      </c>
      <c r="D38" s="7">
        <f>IFERROR(__xludf.DUMMYFUNCTION("""COMPUTED_VALUE"""),42244.99861111111)</f>
        <v>42244.99861</v>
      </c>
      <c r="E38" s="5">
        <f>IFERROR(__xludf.DUMMYFUNCTION("""COMPUTED_VALUE"""),0.10568)</f>
        <v>0.10568</v>
      </c>
      <c r="G38" s="7">
        <f>IFERROR(__xludf.DUMMYFUNCTION("""COMPUTED_VALUE"""),42244.99861111111)</f>
        <v>42244.99861</v>
      </c>
      <c r="H38" s="5">
        <f>IFERROR(__xludf.DUMMYFUNCTION("""COMPUTED_VALUE"""),0.13397)</f>
        <v>0.13397</v>
      </c>
      <c r="J38" s="7">
        <f>IFERROR(__xludf.DUMMYFUNCTION("""COMPUTED_VALUE"""),42244.99861111111)</f>
        <v>42244.99861</v>
      </c>
      <c r="K38" s="5">
        <f>IFERROR(__xludf.DUMMYFUNCTION("""COMPUTED_VALUE"""),1.3747)</f>
        <v>1.3747</v>
      </c>
    </row>
    <row r="39">
      <c r="A39" s="7">
        <f>IFERROR(__xludf.DUMMYFUNCTION("""COMPUTED_VALUE"""),42251.99861111111)</f>
        <v>42251.99861</v>
      </c>
      <c r="B39" s="5">
        <f>IFERROR(__xludf.DUMMYFUNCTION("""COMPUTED_VALUE"""),0.00753)</f>
        <v>0.00753</v>
      </c>
      <c r="D39" s="7">
        <f>IFERROR(__xludf.DUMMYFUNCTION("""COMPUTED_VALUE"""),42251.99861111111)</f>
        <v>42251.99861</v>
      </c>
      <c r="E39" s="5">
        <f>IFERROR(__xludf.DUMMYFUNCTION("""COMPUTED_VALUE"""),0.10615)</f>
        <v>0.10615</v>
      </c>
      <c r="G39" s="7">
        <f>IFERROR(__xludf.DUMMYFUNCTION("""COMPUTED_VALUE"""),42251.99861111111)</f>
        <v>42251.99861</v>
      </c>
      <c r="H39" s="5">
        <f>IFERROR(__xludf.DUMMYFUNCTION("""COMPUTED_VALUE"""),0.13398)</f>
        <v>0.13398</v>
      </c>
      <c r="J39" s="7">
        <f>IFERROR(__xludf.DUMMYFUNCTION("""COMPUTED_VALUE"""),42251.99861111111)</f>
        <v>42251.99861</v>
      </c>
      <c r="K39" s="5">
        <f>IFERROR(__xludf.DUMMYFUNCTION("""COMPUTED_VALUE"""),1.36)</f>
        <v>1.36</v>
      </c>
    </row>
    <row r="40">
      <c r="A40" s="7">
        <f>IFERROR(__xludf.DUMMYFUNCTION("""COMPUTED_VALUE"""),42258.99861111111)</f>
        <v>42258.99861</v>
      </c>
      <c r="B40" s="5">
        <f>IFERROR(__xludf.DUMMYFUNCTION("""COMPUTED_VALUE"""),0.00731)</f>
        <v>0.00731</v>
      </c>
      <c r="D40" s="7">
        <f>IFERROR(__xludf.DUMMYFUNCTION("""COMPUTED_VALUE"""),42258.99861111111)</f>
        <v>42258.99861</v>
      </c>
      <c r="E40" s="5">
        <f>IFERROR(__xludf.DUMMYFUNCTION("""COMPUTED_VALUE"""),0.10699)</f>
        <v>0.10699</v>
      </c>
      <c r="G40" s="7">
        <f>IFERROR(__xludf.DUMMYFUNCTION("""COMPUTED_VALUE"""),42258.99861111111)</f>
        <v>42258.99861</v>
      </c>
      <c r="H40" s="5">
        <f>IFERROR(__xludf.DUMMYFUNCTION("""COMPUTED_VALUE"""),0.13404)</f>
        <v>0.13404</v>
      </c>
      <c r="J40" s="7">
        <f>IFERROR(__xludf.DUMMYFUNCTION("""COMPUTED_VALUE"""),42258.99861111111)</f>
        <v>42258.99861</v>
      </c>
      <c r="K40" s="5">
        <f>IFERROR(__xludf.DUMMYFUNCTION("""COMPUTED_VALUE"""),1.3606)</f>
        <v>1.3606</v>
      </c>
    </row>
    <row r="41">
      <c r="A41" s="7">
        <f>IFERROR(__xludf.DUMMYFUNCTION("""COMPUTED_VALUE"""),42265.99861111111)</f>
        <v>42265.99861</v>
      </c>
      <c r="B41" s="5">
        <f>IFERROR(__xludf.DUMMYFUNCTION("""COMPUTED_VALUE"""),0.00737)</f>
        <v>0.00737</v>
      </c>
      <c r="D41" s="7">
        <f>IFERROR(__xludf.DUMMYFUNCTION("""COMPUTED_VALUE"""),42265.99861111111)</f>
        <v>42265.99861</v>
      </c>
      <c r="E41" s="5">
        <f>IFERROR(__xludf.DUMMYFUNCTION("""COMPUTED_VALUE"""),0.10721)</f>
        <v>0.10721</v>
      </c>
      <c r="G41" s="7">
        <f>IFERROR(__xludf.DUMMYFUNCTION("""COMPUTED_VALUE"""),42265.99861111111)</f>
        <v>42265.99861</v>
      </c>
      <c r="H41" s="5">
        <f>IFERROR(__xludf.DUMMYFUNCTION("""COMPUTED_VALUE"""),0.134)</f>
        <v>0.134</v>
      </c>
      <c r="J41" s="7">
        <f>IFERROR(__xludf.DUMMYFUNCTION("""COMPUTED_VALUE"""),42265.99861111111)</f>
        <v>42265.99861</v>
      </c>
      <c r="K41" s="5">
        <f>IFERROR(__xludf.DUMMYFUNCTION("""COMPUTED_VALUE"""),1.3733)</f>
        <v>1.3733</v>
      </c>
    </row>
    <row r="42">
      <c r="A42" s="7">
        <f>IFERROR(__xludf.DUMMYFUNCTION("""COMPUTED_VALUE"""),42272.99861111111)</f>
        <v>42272.99861</v>
      </c>
      <c r="B42" s="5">
        <f>IFERROR(__xludf.DUMMYFUNCTION("""COMPUTED_VALUE"""),0.00741)</f>
        <v>0.00741</v>
      </c>
      <c r="D42" s="7">
        <f>IFERROR(__xludf.DUMMYFUNCTION("""COMPUTED_VALUE"""),42272.99861111111)</f>
        <v>42272.99861</v>
      </c>
      <c r="E42" s="5">
        <f>IFERROR(__xludf.DUMMYFUNCTION("""COMPUTED_VALUE"""),0.1061)</f>
        <v>0.1061</v>
      </c>
      <c r="G42" s="7">
        <f>IFERROR(__xludf.DUMMYFUNCTION("""COMPUTED_VALUE"""),42272.99861111111)</f>
        <v>42272.99861</v>
      </c>
      <c r="H42" s="5">
        <f>IFERROR(__xludf.DUMMYFUNCTION("""COMPUTED_VALUE"""),0.13402)</f>
        <v>0.13402</v>
      </c>
      <c r="J42" s="7">
        <f>IFERROR(__xludf.DUMMYFUNCTION("""COMPUTED_VALUE"""),42272.99861111111)</f>
        <v>42272.99861</v>
      </c>
      <c r="K42" s="5">
        <f>IFERROR(__xludf.DUMMYFUNCTION("""COMPUTED_VALUE"""),1.3555)</f>
        <v>1.3555</v>
      </c>
    </row>
    <row r="43">
      <c r="A43" s="7">
        <f>IFERROR(__xludf.DUMMYFUNCTION("""COMPUTED_VALUE"""),42279.99861111111)</f>
        <v>42279.99861</v>
      </c>
      <c r="B43" s="5">
        <f>IFERROR(__xludf.DUMMYFUNCTION("""COMPUTED_VALUE"""),0.00744)</f>
        <v>0.00744</v>
      </c>
      <c r="D43" s="7">
        <f>IFERROR(__xludf.DUMMYFUNCTION("""COMPUTED_VALUE"""),42279.99861111111)</f>
        <v>42279.99861</v>
      </c>
      <c r="E43" s="5">
        <f>IFERROR(__xludf.DUMMYFUNCTION("""COMPUTED_VALUE"""),0.1066)</f>
        <v>0.1066</v>
      </c>
      <c r="G43" s="7">
        <f>IFERROR(__xludf.DUMMYFUNCTION("""COMPUTED_VALUE"""),42279.99861111111)</f>
        <v>42279.99861</v>
      </c>
      <c r="H43" s="5">
        <f>IFERROR(__xludf.DUMMYFUNCTION("""COMPUTED_VALUE"""),0.13402)</f>
        <v>0.13402</v>
      </c>
      <c r="J43" s="7">
        <f>IFERROR(__xludf.DUMMYFUNCTION("""COMPUTED_VALUE"""),42279.99861111111)</f>
        <v>42279.99861</v>
      </c>
      <c r="K43" s="5">
        <f>IFERROR(__xludf.DUMMYFUNCTION("""COMPUTED_VALUE"""),1.3534)</f>
        <v>1.3534</v>
      </c>
    </row>
    <row r="44">
      <c r="A44" s="7">
        <f>IFERROR(__xludf.DUMMYFUNCTION("""COMPUTED_VALUE"""),42286.99861111111)</f>
        <v>42286.99861</v>
      </c>
      <c r="B44" s="5">
        <f>IFERROR(__xludf.DUMMYFUNCTION("""COMPUTED_VALUE"""),0.00732)</f>
        <v>0.00732</v>
      </c>
      <c r="D44" s="7">
        <f>IFERROR(__xludf.DUMMYFUNCTION("""COMPUTED_VALUE"""),42286.99861111111)</f>
        <v>42286.99861</v>
      </c>
      <c r="E44" s="5">
        <f>IFERROR(__xludf.DUMMYFUNCTION("""COMPUTED_VALUE"""),0.10728)</f>
        <v>0.10728</v>
      </c>
      <c r="G44" s="7">
        <f>IFERROR(__xludf.DUMMYFUNCTION("""COMPUTED_VALUE"""),42286.99861111111)</f>
        <v>42286.99861</v>
      </c>
      <c r="H44" s="5">
        <f>IFERROR(__xludf.DUMMYFUNCTION("""COMPUTED_VALUE"""),0.13401)</f>
        <v>0.13401</v>
      </c>
      <c r="J44" s="7">
        <f>IFERROR(__xludf.DUMMYFUNCTION("""COMPUTED_VALUE"""),42286.99861111111)</f>
        <v>42286.99861</v>
      </c>
      <c r="K44" s="5">
        <f>IFERROR(__xludf.DUMMYFUNCTION("""COMPUTED_VALUE"""),1.3475)</f>
        <v>1.3475</v>
      </c>
    </row>
    <row r="45">
      <c r="A45" s="7">
        <f>IFERROR(__xludf.DUMMYFUNCTION("""COMPUTED_VALUE"""),42293.99861111111)</f>
        <v>42293.99861</v>
      </c>
      <c r="B45" s="5">
        <f>IFERROR(__xludf.DUMMYFUNCTION("""COMPUTED_VALUE"""),0.00737)</f>
        <v>0.00737</v>
      </c>
      <c r="D45" s="7">
        <f>IFERROR(__xludf.DUMMYFUNCTION("""COMPUTED_VALUE"""),42293.99861111111)</f>
        <v>42293.99861</v>
      </c>
      <c r="E45" s="5">
        <f>IFERROR(__xludf.DUMMYFUNCTION("""COMPUTED_VALUE"""),0.10648)</f>
        <v>0.10648</v>
      </c>
      <c r="G45" s="7">
        <f>IFERROR(__xludf.DUMMYFUNCTION("""COMPUTED_VALUE"""),42293.99861111111)</f>
        <v>42293.99861</v>
      </c>
      <c r="H45" s="5">
        <f>IFERROR(__xludf.DUMMYFUNCTION("""COMPUTED_VALUE"""),0.13403)</f>
        <v>0.13403</v>
      </c>
      <c r="J45" s="7">
        <f>IFERROR(__xludf.DUMMYFUNCTION("""COMPUTED_VALUE"""),42293.99861111111)</f>
        <v>42293.99861</v>
      </c>
      <c r="K45" s="5">
        <f>IFERROR(__xludf.DUMMYFUNCTION("""COMPUTED_VALUE"""),1.3597)</f>
        <v>1.3597</v>
      </c>
    </row>
    <row r="46">
      <c r="A46" s="7">
        <f>IFERROR(__xludf.DUMMYFUNCTION("""COMPUTED_VALUE"""),42300.99861111111)</f>
        <v>42300.99861</v>
      </c>
      <c r="B46" s="5">
        <f>IFERROR(__xludf.DUMMYFUNCTION("""COMPUTED_VALUE"""),0.00747)</f>
        <v>0.00747</v>
      </c>
      <c r="D46" s="7">
        <f>IFERROR(__xludf.DUMMYFUNCTION("""COMPUTED_VALUE"""),42300.99861111111)</f>
        <v>42300.99861</v>
      </c>
      <c r="E46" s="5">
        <f>IFERROR(__xludf.DUMMYFUNCTION("""COMPUTED_VALUE"""),0.10665)</f>
        <v>0.10665</v>
      </c>
      <c r="G46" s="7">
        <f>IFERROR(__xludf.DUMMYFUNCTION("""COMPUTED_VALUE"""),42300.99861111111)</f>
        <v>42300.99861</v>
      </c>
      <c r="H46" s="5">
        <f>IFERROR(__xludf.DUMMYFUNCTION("""COMPUTED_VALUE"""),0.13405)</f>
        <v>0.13405</v>
      </c>
      <c r="J46" s="7">
        <f>IFERROR(__xludf.DUMMYFUNCTION("""COMPUTED_VALUE"""),42300.99861111111)</f>
        <v>42300.99861</v>
      </c>
      <c r="K46" s="5">
        <f>IFERROR(__xludf.DUMMYFUNCTION("""COMPUTED_VALUE"""),1.389)</f>
        <v>1.389</v>
      </c>
    </row>
    <row r="47">
      <c r="A47" s="7">
        <f>IFERROR(__xludf.DUMMYFUNCTION("""COMPUTED_VALUE"""),42308.99861111111)</f>
        <v>42308.99861</v>
      </c>
      <c r="B47" s="5">
        <f>IFERROR(__xludf.DUMMYFUNCTION("""COMPUTED_VALUE"""),0.00753)</f>
        <v>0.00753</v>
      </c>
      <c r="D47" s="7">
        <f>IFERROR(__xludf.DUMMYFUNCTION("""COMPUTED_VALUE"""),42307.99861111111)</f>
        <v>42307.99861</v>
      </c>
      <c r="E47" s="5">
        <f>IFERROR(__xludf.DUMMYFUNCTION("""COMPUTED_VALUE"""),0.10633)</f>
        <v>0.10633</v>
      </c>
      <c r="G47" s="7">
        <f>IFERROR(__xludf.DUMMYFUNCTION("""COMPUTED_VALUE"""),42307.99861111111)</f>
        <v>42307.99861</v>
      </c>
      <c r="H47" s="5">
        <f>IFERROR(__xludf.DUMMYFUNCTION("""COMPUTED_VALUE"""),0.13406)</f>
        <v>0.13406</v>
      </c>
      <c r="J47" s="7">
        <f>IFERROR(__xludf.DUMMYFUNCTION("""COMPUTED_VALUE"""),42308.99861111111)</f>
        <v>42308.99861</v>
      </c>
      <c r="K47" s="5">
        <f>IFERROR(__xludf.DUMMYFUNCTION("""COMPUTED_VALUE"""),1.4009)</f>
        <v>1.4009</v>
      </c>
    </row>
    <row r="48">
      <c r="A48" s="7">
        <f>IFERROR(__xludf.DUMMYFUNCTION("""COMPUTED_VALUE"""),42315.99861111111)</f>
        <v>42315.99861</v>
      </c>
      <c r="B48" s="5">
        <f>IFERROR(__xludf.DUMMYFUNCTION("""COMPUTED_VALUE"""),0.00756)</f>
        <v>0.00756</v>
      </c>
      <c r="D48" s="7">
        <f>IFERROR(__xludf.DUMMYFUNCTION("""COMPUTED_VALUE"""),42314.99861111111)</f>
        <v>42314.99861</v>
      </c>
      <c r="E48" s="5">
        <f>IFERROR(__xludf.DUMMYFUNCTION("""COMPUTED_VALUE"""),0.10665)</f>
        <v>0.10665</v>
      </c>
      <c r="G48" s="7">
        <f>IFERROR(__xludf.DUMMYFUNCTION("""COMPUTED_VALUE"""),42314.99861111111)</f>
        <v>42314.99861</v>
      </c>
      <c r="H48" s="5">
        <f>IFERROR(__xludf.DUMMYFUNCTION("""COMPUTED_VALUE"""),0.13404)</f>
        <v>0.13404</v>
      </c>
      <c r="J48" s="7">
        <f>IFERROR(__xludf.DUMMYFUNCTION("""COMPUTED_VALUE"""),42315.99861111111)</f>
        <v>42315.99861</v>
      </c>
      <c r="K48" s="5">
        <f>IFERROR(__xludf.DUMMYFUNCTION("""COMPUTED_VALUE"""),1.4001)</f>
        <v>1.4001</v>
      </c>
    </row>
    <row r="49">
      <c r="A49" s="7">
        <f>IFERROR(__xludf.DUMMYFUNCTION("""COMPUTED_VALUE"""),42322.99861111111)</f>
        <v>42322.99861</v>
      </c>
      <c r="B49" s="5">
        <f>IFERROR(__xludf.DUMMYFUNCTION("""COMPUTED_VALUE"""),0.00757)</f>
        <v>0.00757</v>
      </c>
      <c r="D49" s="7">
        <f>IFERROR(__xludf.DUMMYFUNCTION("""COMPUTED_VALUE"""),42321.99861111111)</f>
        <v>42321.99861</v>
      </c>
      <c r="E49" s="5">
        <f>IFERROR(__xludf.DUMMYFUNCTION("""COMPUTED_VALUE"""),0.10694)</f>
        <v>0.10694</v>
      </c>
      <c r="G49" s="7">
        <f>IFERROR(__xludf.DUMMYFUNCTION("""COMPUTED_VALUE"""),42321.99861111111)</f>
        <v>42321.99861</v>
      </c>
      <c r="H49" s="5">
        <f>IFERROR(__xludf.DUMMYFUNCTION("""COMPUTED_VALUE"""),0.13402)</f>
        <v>0.13402</v>
      </c>
      <c r="J49" s="7">
        <f>IFERROR(__xludf.DUMMYFUNCTION("""COMPUTED_VALUE"""),42322.99861111111)</f>
        <v>42322.99861</v>
      </c>
      <c r="K49" s="5">
        <f>IFERROR(__xludf.DUMMYFUNCTION("""COMPUTED_VALUE"""),1.4137)</f>
        <v>1.4137</v>
      </c>
    </row>
    <row r="50">
      <c r="A50" s="7">
        <f>IFERROR(__xludf.DUMMYFUNCTION("""COMPUTED_VALUE"""),42328.99861111111)</f>
        <v>42328.99861</v>
      </c>
      <c r="B50" s="5">
        <f>IFERROR(__xludf.DUMMYFUNCTION("""COMPUTED_VALUE"""),0.00765)</f>
        <v>0.00765</v>
      </c>
      <c r="D50" s="7">
        <f>IFERROR(__xludf.DUMMYFUNCTION("""COMPUTED_VALUE"""),42328.99861111111)</f>
        <v>42328.99861</v>
      </c>
      <c r="E50" s="5">
        <f>IFERROR(__xludf.DUMMYFUNCTION("""COMPUTED_VALUE"""),0.10766)</f>
        <v>0.10766</v>
      </c>
      <c r="G50" s="7">
        <f>IFERROR(__xludf.DUMMYFUNCTION("""COMPUTED_VALUE"""),42328.99861111111)</f>
        <v>42328.99861</v>
      </c>
      <c r="H50" s="5">
        <f>IFERROR(__xludf.DUMMYFUNCTION("""COMPUTED_VALUE"""),0.13402)</f>
        <v>0.13402</v>
      </c>
      <c r="J50" s="7">
        <f>IFERROR(__xludf.DUMMYFUNCTION("""COMPUTED_VALUE"""),42328.99861111111)</f>
        <v>42328.99861</v>
      </c>
      <c r="K50" s="5">
        <f>IFERROR(__xludf.DUMMYFUNCTION("""COMPUTED_VALUE"""),1.426)</f>
        <v>1.426</v>
      </c>
    </row>
    <row r="51">
      <c r="A51" s="7">
        <f>IFERROR(__xludf.DUMMYFUNCTION("""COMPUTED_VALUE"""),42336.99861111111)</f>
        <v>42336.99861</v>
      </c>
      <c r="B51" s="5">
        <f>IFERROR(__xludf.DUMMYFUNCTION("""COMPUTED_VALUE"""),0.00768)</f>
        <v>0.00768</v>
      </c>
      <c r="D51" s="7">
        <f>IFERROR(__xludf.DUMMYFUNCTION("""COMPUTED_VALUE"""),42335.99861111111)</f>
        <v>42335.99861</v>
      </c>
      <c r="E51" s="5">
        <f>IFERROR(__xludf.DUMMYFUNCTION("""COMPUTED_VALUE"""),0.10796)</f>
        <v>0.10796</v>
      </c>
      <c r="G51" s="7">
        <f>IFERROR(__xludf.DUMMYFUNCTION("""COMPUTED_VALUE"""),42335.99861111111)</f>
        <v>42335.99861</v>
      </c>
      <c r="H51" s="5">
        <f>IFERROR(__xludf.DUMMYFUNCTION("""COMPUTED_VALUE"""),0.13402)</f>
        <v>0.13402</v>
      </c>
      <c r="J51" s="7">
        <f>IFERROR(__xludf.DUMMYFUNCTION("""COMPUTED_VALUE"""),42336.99861111111)</f>
        <v>42336.99861</v>
      </c>
      <c r="K51" s="5">
        <f>IFERROR(__xludf.DUMMYFUNCTION("""COMPUTED_VALUE"""),1.4185)</f>
        <v>1.4185</v>
      </c>
    </row>
    <row r="52">
      <c r="A52" s="7">
        <f>IFERROR(__xludf.DUMMYFUNCTION("""COMPUTED_VALUE"""),42343.99861111111)</f>
        <v>42343.99861</v>
      </c>
      <c r="B52" s="5">
        <f>IFERROR(__xludf.DUMMYFUNCTION("""COMPUTED_VALUE"""),0.00747)</f>
        <v>0.00747</v>
      </c>
      <c r="D52" s="7">
        <f>IFERROR(__xludf.DUMMYFUNCTION("""COMPUTED_VALUE"""),42342.99861111111)</f>
        <v>42342.99861</v>
      </c>
      <c r="E52" s="5">
        <f>IFERROR(__xludf.DUMMYFUNCTION("""COMPUTED_VALUE"""),0.10827)</f>
        <v>0.10827</v>
      </c>
      <c r="G52" s="7">
        <f>IFERROR(__xludf.DUMMYFUNCTION("""COMPUTED_VALUE"""),42342.99861111111)</f>
        <v>42342.99861</v>
      </c>
      <c r="H52" s="5">
        <f>IFERROR(__xludf.DUMMYFUNCTION("""COMPUTED_VALUE"""),0.13403)</f>
        <v>0.13403</v>
      </c>
      <c r="J52" s="7">
        <f>IFERROR(__xludf.DUMMYFUNCTION("""COMPUTED_VALUE"""),42343.99861111111)</f>
        <v>42343.99861</v>
      </c>
      <c r="K52" s="5">
        <f>IFERROR(__xludf.DUMMYFUNCTION("""COMPUTED_VALUE"""),1.3873)</f>
        <v>1.3873</v>
      </c>
    </row>
    <row r="53">
      <c r="A53" s="7">
        <f>IFERROR(__xludf.DUMMYFUNCTION("""COMPUTED_VALUE"""),42350.99861111111)</f>
        <v>42350.99861</v>
      </c>
      <c r="B53" s="5">
        <f>IFERROR(__xludf.DUMMYFUNCTION("""COMPUTED_VALUE"""),0.00752)</f>
        <v>0.00752</v>
      </c>
      <c r="D53" s="7">
        <f>IFERROR(__xludf.DUMMYFUNCTION("""COMPUTED_VALUE"""),42349.99861111111)</f>
        <v>42349.99861</v>
      </c>
      <c r="E53" s="5">
        <f>IFERROR(__xludf.DUMMYFUNCTION("""COMPUTED_VALUE"""),0.107)</f>
        <v>0.107</v>
      </c>
      <c r="G53" s="7">
        <f>IFERROR(__xludf.DUMMYFUNCTION("""COMPUTED_VALUE"""),42349.99861111111)</f>
        <v>42349.99861</v>
      </c>
      <c r="H53" s="5">
        <f>IFERROR(__xludf.DUMMYFUNCTION("""COMPUTED_VALUE"""),0.134)</f>
        <v>0.134</v>
      </c>
      <c r="J53" s="7">
        <f>IFERROR(__xludf.DUMMYFUNCTION("""COMPUTED_VALUE"""),42350.99861111111)</f>
        <v>42350.99861</v>
      </c>
      <c r="K53" s="5">
        <f>IFERROR(__xludf.DUMMYFUNCTION("""COMPUTED_VALUE"""),1.3836)</f>
        <v>1.3836</v>
      </c>
    </row>
    <row r="54">
      <c r="A54" s="7">
        <f>IFERROR(__xludf.DUMMYFUNCTION("""COMPUTED_VALUE"""),42357.99861111111)</f>
        <v>42357.99861</v>
      </c>
      <c r="B54" s="5">
        <f>IFERROR(__xludf.DUMMYFUNCTION("""COMPUTED_VALUE"""),0.00759)</f>
        <v>0.00759</v>
      </c>
      <c r="D54" s="7">
        <f>IFERROR(__xludf.DUMMYFUNCTION("""COMPUTED_VALUE"""),42356.99861111111)</f>
        <v>42356.99861</v>
      </c>
      <c r="E54" s="5">
        <f>IFERROR(__xludf.DUMMYFUNCTION("""COMPUTED_VALUE"""),0.10742)</f>
        <v>0.10742</v>
      </c>
      <c r="G54" s="7">
        <f>IFERROR(__xludf.DUMMYFUNCTION("""COMPUTED_VALUE"""),42356.99861111111)</f>
        <v>42356.99861</v>
      </c>
      <c r="H54" s="5">
        <f>IFERROR(__xludf.DUMMYFUNCTION("""COMPUTED_VALUE"""),0.13399)</f>
        <v>0.13399</v>
      </c>
      <c r="J54" s="7">
        <f>IFERROR(__xludf.DUMMYFUNCTION("""COMPUTED_VALUE"""),42357.99861111111)</f>
        <v>42357.99861</v>
      </c>
      <c r="K54" s="5">
        <f>IFERROR(__xludf.DUMMYFUNCTION("""COMPUTED_VALUE"""),1.3701)</f>
        <v>1.3701</v>
      </c>
    </row>
    <row r="55">
      <c r="A55" s="7">
        <f>IFERROR(__xludf.DUMMYFUNCTION("""COMPUTED_VALUE"""),42364.99861111111)</f>
        <v>42364.99861</v>
      </c>
      <c r="B55" s="5">
        <f>IFERROR(__xludf.DUMMYFUNCTION("""COMPUTED_VALUE"""),0.00756)</f>
        <v>0.00756</v>
      </c>
      <c r="D55" s="7">
        <f>IFERROR(__xludf.DUMMYFUNCTION("""COMPUTED_VALUE"""),42363.99861111111)</f>
        <v>42363.99861</v>
      </c>
      <c r="E55" s="5">
        <f>IFERROR(__xludf.DUMMYFUNCTION("""COMPUTED_VALUE"""),0.10857)</f>
        <v>0.10857</v>
      </c>
      <c r="G55" s="7">
        <f>IFERROR(__xludf.DUMMYFUNCTION("""COMPUTED_VALUE"""),42363.99861111111)</f>
        <v>42363.99861</v>
      </c>
      <c r="H55" s="5">
        <f>IFERROR(__xludf.DUMMYFUNCTION("""COMPUTED_VALUE"""),0.13364)</f>
        <v>0.13364</v>
      </c>
      <c r="J55" s="7">
        <f>IFERROR(__xludf.DUMMYFUNCTION("""COMPUTED_VALUE"""),42364.99861111111)</f>
        <v>42364.99861</v>
      </c>
      <c r="K55" s="5">
        <f>IFERROR(__xludf.DUMMYFUNCTION("""COMPUTED_VALUE"""),1.3594)</f>
        <v>1.3594</v>
      </c>
    </row>
  </sheetData>
  <drawing r:id="rId1"/>
</worksheet>
</file>